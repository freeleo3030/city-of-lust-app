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1. EDITS\4. Claude\Project\Test\city_of_lust\"/>
    </mc:Choice>
  </mc:AlternateContent>
  <xr:revisionPtr revIDLastSave="0" documentId="8_{99DCBF30-415F-418B-8205-77B09033CCF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여캐 스탯" sheetId="1" r:id="rId1"/>
    <sheet name="여캐 선호도" sheetId="2" r:id="rId2"/>
    <sheet name="성감대 시스템" sheetId="3" r:id="rId3"/>
    <sheet name="도구×성감대 매트릭스" sheetId="4" r:id="rId4"/>
    <sheet name="SEX 씬 게인 &amp; 궁합" sheetId="5" r:id="rId5"/>
    <sheet name="데이트 시스템" sheetId="6" r:id="rId6"/>
    <sheet name="남캐 스탯" sheetId="7" r:id="rId7"/>
  </sheets>
  <calcPr calcId="191029"/>
  <fileRecoveryPr repairLoad="1"/>
</workbook>
</file>

<file path=xl/calcChain.xml><?xml version="1.0" encoding="utf-8"?>
<calcChain xmlns="http://schemas.openxmlformats.org/spreadsheetml/2006/main">
  <c r="G15" i="3" l="1"/>
  <c r="F30" i="2"/>
  <c r="D26" i="2"/>
  <c r="C26" i="2"/>
  <c r="F21" i="2"/>
  <c r="F13" i="2"/>
  <c r="F9" i="2"/>
  <c r="E5" i="2"/>
  <c r="B17" i="1"/>
</calcChain>
</file>

<file path=xl/sharedStrings.xml><?xml version="1.0" encoding="utf-8"?>
<sst xmlns="http://schemas.openxmlformats.org/spreadsheetml/2006/main" count="589" uniqueCount="404">
  <si>
    <t>욕정의 도시 (City of Lust) — 여성 캐릭터 스탯 시스템</t>
  </si>
  <si>
    <t>① 기본 정보</t>
  </si>
  <si>
    <t>항목</t>
  </si>
  <si>
    <t>범위 / 선택지</t>
  </si>
  <si>
    <t>비고</t>
  </si>
  <si>
    <t>나이</t>
  </si>
  <si>
    <t>20대 / 30대 / 40대</t>
  </si>
  <si>
    <t>6단계 난이도 조합</t>
  </si>
  <si>
    <t>결혼 여부</t>
  </si>
  <si>
    <t>미혼 / 기혼 / 돌싱</t>
  </si>
  <si>
    <t>나이×결혼여부 조합</t>
  </si>
  <si>
    <t>직업</t>
  </si>
  <si>
    <t>텍스트 입력</t>
  </si>
  <si>
    <t>키</t>
  </si>
  <si>
    <t>140~185cm (슬라이더)</t>
  </si>
  <si>
    <t>외모 합계와 분리</t>
  </si>
  <si>
    <t>체형</t>
  </si>
  <si>
    <t>글래머 / 베이글 / 머슬 / 슬랜더</t>
  </si>
  <si>
    <t>슬랜더=slim(skinny 아님)</t>
  </si>
  <si>
    <t>장소</t>
  </si>
  <si>
    <t>19개 장소 중 선택</t>
  </si>
  <si>
    <t>카페/클럽/병원 등</t>
  </si>
  <si>
    <t>② 외모 스탯 (합계 180)</t>
  </si>
  <si>
    <t>범위</t>
  </si>
  <si>
    <t>설명</t>
  </si>
  <si>
    <t>가중치 / 비고</t>
  </si>
  <si>
    <t>얼굴 (face)</t>
  </si>
  <si>
    <t>0~100</t>
  </si>
  <si>
    <t>기본 매력도에 반영</t>
  </si>
  <si>
    <t>몸매 (body)</t>
  </si>
  <si>
    <t>탄력도(tone) 개념. 30대 -10, 40대 -20 적용</t>
  </si>
  <si>
    <t>나이 보정 있음</t>
  </si>
  <si>
    <t>패션 (fashion)</t>
  </si>
  <si>
    <t>스타일 점수</t>
  </si>
  <si>
    <t>합계</t>
  </si>
  <si>
    <t>face + body + fashion = 180 고정</t>
  </si>
  <si>
    <t>키는 별도</t>
  </si>
  <si>
    <t>③ 성격 스탯 (personality)</t>
  </si>
  <si>
    <t>1 (낮음)</t>
  </si>
  <si>
    <t>3 (중간)</t>
  </si>
  <si>
    <t>5 (높음)</t>
  </si>
  <si>
    <t>내향성 (introvert)</t>
  </si>
  <si>
    <t>내성적</t>
  </si>
  <si>
    <t>중간</t>
  </si>
  <si>
    <t>외향적</t>
  </si>
  <si>
    <t>1~5</t>
  </si>
  <si>
    <t>우회성 (indirect)</t>
  </si>
  <si>
    <t>우회적</t>
  </si>
  <si>
    <t>직설적</t>
  </si>
  <si>
    <t>도도함 (friendly)</t>
  </si>
  <si>
    <t>친근하고 상냥함</t>
  </si>
  <si>
    <t>도도하고 자신감 있음</t>
  </si>
  <si>
    <t>④ S/M 성향</t>
  </si>
  <si>
    <t>음수</t>
  </si>
  <si>
    <t>양수</t>
  </si>
  <si>
    <t>smTendency (여캐 자신)</t>
  </si>
  <si>
    <t>-100 ~ +100</t>
  </si>
  <si>
    <t>M 성향</t>
  </si>
  <si>
    <t>S 성향</t>
  </si>
  <si>
    <t>성감대 카드 하단</t>
  </si>
  <si>
    <t>smPreferMale (선호 남성)</t>
  </si>
  <si>
    <t>M남 선호</t>
  </si>
  <si>
    <t>S남 선호</t>
  </si>
  <si>
    <t>선호남성 카드 하단</t>
  </si>
  <si>
    <t>⑤ 데이트 비용 분담 (dateCostShare)</t>
  </si>
  <si>
    <t>값 범위</t>
  </si>
  <si>
    <t>AI 행동</t>
  </si>
  <si>
    <t>0%</t>
  </si>
  <si>
    <t>절대 안 냄 — 반반 제안도 단호히 거절</t>
  </si>
  <si>
    <t>1~30%</t>
  </si>
  <si>
    <t>가끔 조금 낼 수 있음</t>
  </si>
  <si>
    <t>31~60%</t>
  </si>
  <si>
    <t>더치페이 수용</t>
  </si>
  <si>
    <t>61~90%</t>
  </si>
  <si>
    <t>자주 내는 편</t>
  </si>
  <si>
    <t>91~100%</t>
  </si>
  <si>
    <t>항상 여성이 냄</t>
  </si>
  <si>
    <t>욕정의 도시 — 여캐 선호도 &amp; 가중치 시스템</t>
  </si>
  <si>
    <t>① 선호 나이대 (prefAge) — 합계 100</t>
  </si>
  <si>
    <t>20대</t>
  </si>
  <si>
    <t>30대</t>
  </si>
  <si>
    <t>40대</t>
  </si>
  <si>
    <t>가중치 (%)</t>
  </si>
  <si>
    <t>20~60</t>
  </si>
  <si>
    <t>슬라이더로 조정, 합계 자동 보정</t>
  </si>
  <si>
    <t>② 선호 외모 (prefLook) — 합계 100</t>
  </si>
  <si>
    <t>얼굴</t>
  </si>
  <si>
    <t>몸매</t>
  </si>
  <si>
    <t>패션</t>
  </si>
  <si>
    <t>4항목 합계 100 고정</t>
  </si>
  <si>
    <t>③ 선호 성격 (prefPersonality) — 합계 100</t>
  </si>
  <si>
    <t>지성</t>
  </si>
  <si>
    <t>유머</t>
  </si>
  <si>
    <t>덕성</t>
  </si>
  <si>
    <t>매너</t>
  </si>
  <si>
    <t>intel/humor/virtue/manner</t>
  </si>
  <si>
    <t>④ 선호 재력 (prefWealth)</t>
  </si>
  <si>
    <t>낮음 (0)</t>
  </si>
  <si>
    <t>중간 (50)</t>
  </si>
  <si>
    <t>높음 (100)</t>
  </si>
  <si>
    <t>재력 선호도</t>
  </si>
  <si>
    <t>재력 무관심</t>
  </si>
  <si>
    <t>보통</t>
  </si>
  <si>
    <t>재력 매우 중요</t>
  </si>
  <si>
    <t>Stage1 매력도 점수에 반영</t>
  </si>
  <si>
    <t>⑤ 발기 선호 (prefErect) — 합계 100, SEX 궁합에 반영</t>
  </si>
  <si>
    <t>파워</t>
  </si>
  <si>
    <t>지속력</t>
  </si>
  <si>
    <t>강도</t>
  </si>
  <si>
    <t>테크닉</t>
  </si>
  <si>
    <t>dot product: Σ(male×pref)/10000</t>
  </si>
  <si>
    <t>궁합 기준값</t>
  </si>
  <si>
    <t>균등분배(25×4) → 0.25 | 완전일치(몰빵) → 최대 1.0 | 완전불일치 → ~0.08</t>
  </si>
  <si>
    <t>⑥ 성기 크기 선호 (prefSize) — 합계 100, SEX 궁합에 반영</t>
  </si>
  <si>
    <t>길이 (size)</t>
  </si>
  <si>
    <t>둘레 (girth)</t>
  </si>
  <si>
    <t>20~80</t>
  </si>
  <si>
    <t>최소 각 20 보장. 균등(50×50) → 0.50 기준</t>
  </si>
  <si>
    <t>⑦ 선호 자세 (prefPose) — 합계 10</t>
  </si>
  <si>
    <t>정상위</t>
  </si>
  <si>
    <t>후배위</t>
  </si>
  <si>
    <t>여성상위</t>
  </si>
  <si>
    <t>버터플라이</t>
  </si>
  <si>
    <t>가중치</t>
  </si>
  <si>
    <t>자동 = 10-합산
clamp(1~5)</t>
  </si>
  <si>
    <t>posePref = prefPose[자세] / 3</t>
  </si>
  <si>
    <t>욕정의 도시 — 성감대 시스템 (v2, 2026-08-25 확정)</t>
  </si>
  <si>
    <t>① 일반 성감대 (genEro) — 합계 10</t>
  </si>
  <si>
    <t>부위</t>
  </si>
  <si>
    <t>키값</t>
  </si>
  <si>
    <t>입력방식</t>
  </si>
  <si>
    <t>합계포함</t>
  </si>
  <si>
    <t>기본값</t>
  </si>
  <si>
    <t>입·입술</t>
  </si>
  <si>
    <t>mouth</t>
  </si>
  <si>
    <t>1~4</t>
  </si>
  <si>
    <t>슬라이더</t>
  </si>
  <si>
    <t>O</t>
  </si>
  <si>
    <t>2</t>
  </si>
  <si>
    <t>목·귀</t>
  </si>
  <si>
    <t>neckEar</t>
  </si>
  <si>
    <t>3</t>
  </si>
  <si>
    <t>겨드랑이</t>
  </si>
  <si>
    <t>armpit</t>
  </si>
  <si>
    <t>tongue만 1.2 보너스</t>
  </si>
  <si>
    <t>가슴</t>
  </si>
  <si>
    <t>breast</t>
  </si>
  <si>
    <t>엉덩이/허벅지</t>
  </si>
  <si>
    <t>thigh</t>
  </si>
  <si>
    <t>1~4 (자동)</t>
  </si>
  <si>
    <t>읽기전용</t>
  </si>
  <si>
    <t>3 (자동)</t>
  </si>
  <si>
    <t>항문</t>
  </si>
  <si>
    <t>anal</t>
  </si>
  <si>
    <t>-5~+5</t>
  </si>
  <si>
    <t>독립 슬라이더</t>
  </si>
  <si>
    <t>X (독립)</t>
  </si>
  <si>
    <t>0</t>
  </si>
  <si>
    <t>SEX 시 잘못사용 시 페널티</t>
  </si>
  <si>
    <t>② 핵심 성감대 (CORE) — 합계 15</t>
  </si>
  <si>
    <t>클리토리스</t>
  </si>
  <si>
    <t>clitoris</t>
  </si>
  <si>
    <t>4~11</t>
  </si>
  <si>
    <t>8</t>
  </si>
  <si>
    <t>질</t>
  </si>
  <si>
    <t>vagina</t>
  </si>
  <si>
    <t>4~11 (자동)</t>
  </si>
  <si>
    <t>7 (자동)</t>
  </si>
  <si>
    <t>욕정의 도시 — 도구 × 성감대 매트릭스 (TOOL_ZONE_MATRIX)</t>
  </si>
  <si>
    <t>도구</t>
  </si>
  <si>
    <t>목</t>
  </si>
  <si>
    <t>귀</t>
  </si>
  <si>
    <t>허벅지</t>
  </si>
  <si>
    <t>입</t>
  </si>
  <si>
    <t>혀 (tongue)</t>
  </si>
  <si>
    <t>손 (hand)</t>
  </si>
  <si>
    <t>성기 (penis)</t>
  </si>
  <si>
    <t>딜도 (dildo)</t>
  </si>
  <si>
    <t>바이브레이터</t>
  </si>
  <si>
    <t>항문딜도</t>
  </si>
  <si>
    <t>젤 (gel)</t>
  </si>
  <si>
    <t>채찍 (whip)</t>
  </si>
  <si>
    <t>SM전용</t>
  </si>
  <si>
    <t>범례</t>
  </si>
  <si>
    <t>1.5 이상 (황금)</t>
  </si>
  <si>
    <t>최고 효과 성감대</t>
  </si>
  <si>
    <t>1.2~1.4 (연초록)</t>
  </si>
  <si>
    <t>높은 효과</t>
  </si>
  <si>
    <t>음수 (연빨강)</t>
  </si>
  <si>
    <t>페널티 — 흥분도 하락</t>
  </si>
  <si>
    <t>SM전용 (연보라)</t>
  </si>
  <si>
    <t>WHIP_LEVEL_MATRIX × SM 궁합 배율</t>
  </si>
  <si>
    <t>욕정의 도시 — SEX 씬 흥분도 게인 공식 &amp; 궁합 시스템</t>
  </si>
  <si>
    <t>① 흥분도 게인 공식 (gain)</t>
  </si>
  <si>
    <t>gain = toolMult &lt; 0 ? toolMult × 10 : sensitivity &lt; 0 ? sensMod × 5 : toolMult × ageMult × posePref × 2 + sensMod + malePrefBonus + maleSizeBonus</t>
  </si>
  <si>
    <t>변수</t>
  </si>
  <si>
    <t>계산식</t>
  </si>
  <si>
    <t>범위/기준</t>
  </si>
  <si>
    <t>적용 도구</t>
  </si>
  <si>
    <t>toolMult</t>
  </si>
  <si>
    <t>도구×성감대 매트릭스 값</t>
  </si>
  <si>
    <t>TOOL_ZONE_MATRIX[tool][zone]</t>
  </si>
  <si>
    <t>-0.2 ~ 1.8</t>
  </si>
  <si>
    <t>전체</t>
  </si>
  <si>
    <t>음수면 즉시 ×10 하락</t>
  </si>
  <si>
    <t>ageMult</t>
  </si>
  <si>
    <t>여캐 나이 배율</t>
  </si>
  <si>
    <t>20대=0.8 / 30대=1.0 / 40대=1.2</t>
  </si>
  <si>
    <t>0.8~1.2</t>
  </si>
  <si>
    <t>40대가 가장 반응 큼</t>
  </si>
  <si>
    <t>posePref</t>
  </si>
  <si>
    <t>선호 자세 배율</t>
  </si>
  <si>
    <t>prefPose[현재자세] / 3</t>
  </si>
  <si>
    <t>0.33~1.67</t>
  </si>
  <si>
    <t>자세 선호도 1~5</t>
  </si>
  <si>
    <t>sensMod</t>
  </si>
  <si>
    <t>성감도 보정</t>
  </si>
  <si>
    <t>erogenous[zone] × 0.5</t>
  </si>
  <si>
    <t>0.5~5.5</t>
  </si>
  <si>
    <t>성감대 값 × 0.5</t>
  </si>
  <si>
    <t>malePrefBonus</t>
  </si>
  <si>
    <t>발기 선호 궁합</t>
  </si>
  <si>
    <t>Σ(male_i × pref_i) / 10000</t>
  </si>
  <si>
    <t>0.08~1.0</t>
  </si>
  <si>
    <t>penis만</t>
  </si>
  <si>
    <t>균등=0.25 기준</t>
  </si>
  <si>
    <t>maleSizeBonus</t>
  </si>
  <si>
    <t>크기 선호 궁합</t>
  </si>
  <si>
    <t>(size×pref.size + girth×pref.girth) / 10000</t>
  </si>
  <si>
    <t>0~1.0</t>
  </si>
  <si>
    <t>균등=0.50 기준</t>
  </si>
  <si>
    <t>② 흥분도 페이즈 구간</t>
  </si>
  <si>
    <t>구간</t>
  </si>
  <si>
    <t>displayMode</t>
  </si>
  <si>
    <t>해금 도구</t>
  </si>
  <si>
    <t>0 ~ 49</t>
  </si>
  <si>
    <t>photo_aroused</t>
  </si>
  <si>
    <t>기본 도구만</t>
  </si>
  <si>
    <t>음부/항문/삽입 불가</t>
  </si>
  <si>
    <t>50 ~ 199</t>
  </si>
  <si>
    <t>sprite_aroused</t>
  </si>
  <si>
    <t>대부분 가능</t>
  </si>
  <si>
    <t>삽입(penis) 불가</t>
  </si>
  <si>
    <t>200 ~ 399</t>
  </si>
  <si>
    <t>sprite_climax</t>
  </si>
  <si>
    <t>전체 가능</t>
  </si>
  <si>
    <t>제한 없음</t>
  </si>
  <si>
    <t>400+</t>
  </si>
  <si>
    <t>photo_climax</t>
  </si>
  <si>
    <t>멀티 오르가즘 구간</t>
  </si>
  <si>
    <t>멀티 오르가즘: 430 / 460 / 500 (3회째 성공 종료) | 남캐 흥분도: 600초(자동+1/초, penis클릭+3) 초과 시 실패</t>
  </si>
  <si>
    <t>③ SM 궁합 배율 (smCompatMult) — 채찍/항문딜도에만 적용</t>
  </si>
  <si>
    <t>조건</t>
  </si>
  <si>
    <t>공식</t>
  </si>
  <si>
    <t>배율 범위</t>
  </si>
  <si>
    <t>smProduct &gt; 0 (궁합)</t>
  </si>
  <si>
    <t>1.0 + product/100 × 0.5</t>
  </si>
  <si>
    <t>1.005 ~ 1.5</t>
  </si>
  <si>
    <t>남캐S↔여캐M 또는 남캐M↔여캐S</t>
  </si>
  <si>
    <t>smProduct &lt; 0 (충돌)</t>
  </si>
  <si>
    <t>1.0 - |product|/100 × 0.5</t>
  </si>
  <si>
    <t>0.5 ~ 0.995</t>
  </si>
  <si>
    <t>남캐S↔여캐S 또는 남캐M↔여캐M</t>
  </si>
  <si>
    <t>smProduct = 0 (중립)</t>
  </si>
  <si>
    <t>1.0</t>
  </si>
  <si>
    <t>한쪽이 0(중립)인 경우</t>
  </si>
  <si>
    <t>부호 규칙: 남캐 음수=S/양수=M | 여캐 음수=M/양수=S (반대)</t>
  </si>
  <si>
    <t>④ 총 궁합률 (결과 화면, 0~100점)</t>
  </si>
  <si>
    <t>배점</t>
  </si>
  <si>
    <t>SM 궁합</t>
  </si>
  <si>
    <t>50점</t>
  </si>
  <si>
    <t>(smCompatMult - 0.5) / 1.0 × 50</t>
  </si>
  <si>
    <t>4개 스탯 각 MAX(0, 12.5 - |diff|/4) 합산</t>
  </si>
  <si>
    <t>총합</t>
  </si>
  <si>
    <t>100점</t>
  </si>
  <si>
    <t>SM궁합 + 발기선호궁합</t>
  </si>
  <si>
    <t>욕정의 도시 — 데이트 호감도 시스템 (Stage 2)</t>
  </si>
  <si>
    <t>① 기본 구조</t>
  </si>
  <si>
    <t>호감도 범위</t>
  </si>
  <si>
    <t>0 ~ 800</t>
  </si>
  <si>
    <t>SEX 잠금 해제</t>
  </si>
  <si>
    <t>800 (= 4회차 목표 달성 시)</t>
  </si>
  <si>
    <t>만남 제한</t>
  </si>
  <si>
    <t>여캐당 하루 3회 / 총 10회</t>
  </si>
  <si>
    <t>하루 제한</t>
  </si>
  <si>
    <t>다른 여캐 포함 하루 5인</t>
  </si>
  <si>
    <t>10회 미달성</t>
  </si>
  <si>
    <t>헤어짐 (게임 오버)</t>
  </si>
  <si>
    <t>세션 시간</t>
  </si>
  <si>
    <t>10분 (타임아웃)</t>
  </si>
  <si>
    <t>② 회차별 목표치 &amp; 배율 &amp; 예상 대화수</t>
  </si>
  <si>
    <t>회차</t>
  </si>
  <si>
    <t>누적 목표</t>
  </si>
  <si>
    <t>배율</t>
  </si>
  <si>
    <t>이번 회차 필요</t>
  </si>
  <si>
    <t>예상 대화수</t>
  </si>
  <si>
    <t>미션 개수</t>
  </si>
  <si>
    <t>주요 주제</t>
  </si>
  <si>
    <t>1회차</t>
  </si>
  <si>
    <t>×0.5</t>
  </si>
  <si>
    <t>~20번</t>
  </si>
  <si>
    <t>3개 (고정)</t>
  </si>
  <si>
    <t>서로 알아가기 — 이름, 동네, 직업</t>
  </si>
  <si>
    <t>2회차</t>
  </si>
  <si>
    <t>×0.75</t>
  </si>
  <si>
    <t>~18번</t>
  </si>
  <si>
    <t>2개</t>
  </si>
  <si>
    <t>관심사 1~2번 + 일상</t>
  </si>
  <si>
    <t>3회차</t>
  </si>
  <si>
    <t>×1.0</t>
  </si>
  <si>
    <t>~17번</t>
  </si>
  <si>
    <t>3개</t>
  </si>
  <si>
    <t>관심사 3번 + 취미/음식</t>
  </si>
  <si>
    <t>4회차</t>
  </si>
  <si>
    <t>4개</t>
  </si>
  <si>
    <t>관심사 심화 + 고민/꿈</t>
  </si>
  <si>
    <t>5회차</t>
  </si>
  <si>
    <t>—</t>
  </si>
  <si>
    <t>~10번</t>
  </si>
  <si>
    <t>5개</t>
  </si>
  <si>
    <t>감정 의식, 데이트 제안</t>
  </si>
  <si>
    <t>6회차</t>
  </si>
  <si>
    <t>6개</t>
  </si>
  <si>
    <t>설렘, 더 가까워지는 느낌</t>
  </si>
  <si>
    <t>7회차</t>
  </si>
  <si>
    <t>7개</t>
  </si>
  <si>
    <t>솔직한 감정 표현 시작</t>
  </si>
  <si>
    <t>8회차</t>
  </si>
  <si>
    <t>×0.4</t>
  </si>
  <si>
    <t>8개</t>
  </si>
  <si>
    <t>스킨십 암시, 끌림 표현</t>
  </si>
  <si>
    <t>9회차</t>
  </si>
  <si>
    <t>9개</t>
  </si>
  <si>
    <t>감정 고백 직전, 긴장감</t>
  </si>
  <si>
    <t>10회차</t>
  </si>
  <si>
    <t>10개</t>
  </si>
  <si>
    <t>마지막 기회 (미달 시 헤어짐)</t>
  </si>
  <si>
    <t>③ affection_delta 범위 (Gemini 기준, 배율 곱하기 전)</t>
  </si>
  <si>
    <t>상황</t>
  </si>
  <si>
    <t>delta 범위</t>
  </si>
  <si>
    <t>배율 적용 예 (2회차 ×0.75)</t>
  </si>
  <si>
    <t>관심사 주제 대화 성공</t>
  </si>
  <si>
    <t>+8 ~ +15</t>
  </si>
  <si>
    <t>+6 ~ +11.25</t>
  </si>
  <si>
    <t>일반 좋은 대화</t>
  </si>
  <si>
    <t>+3 ~ +8</t>
  </si>
  <si>
    <t>+2.25 ~ +6</t>
  </si>
  <si>
    <t>보통 대화</t>
  </si>
  <si>
    <t>0 ~ +3</t>
  </si>
  <si>
    <t>0 ~ +2.25</t>
  </si>
  <si>
    <t>나쁜 대화</t>
  </si>
  <si>
    <t>-3 ~ -10</t>
  </si>
  <si>
    <t>-2.25 ~ -7.5</t>
  </si>
  <si>
    <t>④ 회차별 미션 풀</t>
  </si>
  <si>
    <t>미션 풀 (내용)</t>
  </si>
  <si>
    <t>1회차 (3개, 랜덤)</t>
  </si>
  <si>
    <t>[필수] {이름} 불러주며 인사하기 + 랜덤 2개: 사는 동네, 직업, 어떻게 왔는지, 시간 보내는 방법, 좋아하는 음식, 첫인상 칭찬</t>
  </si>
  <si>
    <t>2~3회차</t>
  </si>
  <si>
    <t>관심사 1~3번 + 좋아하는 음식, 주말, 최근 재미있는 것, 여행</t>
  </si>
  <si>
    <t>4~6회차</t>
  </si>
  <si>
    <t>관심사 4~6번 + 여행지, 고민, 학창시절, 가족, 꿈</t>
  </si>
  <si>
    <t>7~10회차</t>
  </si>
  <si>
    <t>칭찬, 손 예쁘다, 또 보고싶다, 같이 있어 좋았다, 눈맞추며 칭찬, 장소 만들자, 좋아한다 넌지시</t>
  </si>
  <si>
    <t>욕정의 도시 — 남성 캐릭터 스탯 시스템</t>
  </si>
  <si>
    <t>① 외모 스탯</t>
  </si>
  <si>
    <t>단위</t>
  </si>
  <si>
    <t>점수</t>
  </si>
  <si>
    <t>키 (height)</t>
  </si>
  <si>
    <t>150~195cm</t>
  </si>
  <si>
    <t>cm</t>
  </si>
  <si>
    <t>성기 크기 (penisSize)</t>
  </si>
  <si>
    <t>SEX 씬 maleSizeBonus에 반영</t>
  </si>
  <si>
    <t>성기 굵기 (penisGirth)</t>
  </si>
  <si>
    <t>② 발기 스탯 (SEX 씬 malePrefBonus에 반영)</t>
  </si>
  <si>
    <t>power</t>
  </si>
  <si>
    <t>duration</t>
  </si>
  <si>
    <t>hardness</t>
  </si>
  <si>
    <t>tech</t>
  </si>
  <si>
    <t>③ 성격/능력 스탯 (Stage1 매력도에 반영)</t>
  </si>
  <si>
    <t>intel</t>
  </si>
  <si>
    <t>여캐 prefPersonality.intel과 매칭</t>
  </si>
  <si>
    <t>humor</t>
  </si>
  <si>
    <t>virtue</t>
  </si>
  <si>
    <t>manner</t>
  </si>
  <si>
    <t>SM 성향</t>
  </si>
  <si>
    <t>-10 ~ +10</t>
  </si>
  <si>
    <t>smTendency</t>
  </si>
  <si>
    <t>음수=S, 양수=M</t>
  </si>
  <si>
    <t>재력</t>
  </si>
  <si>
    <t>wealth</t>
  </si>
  <si>
    <t>여캐 prefWealth와 매칭</t>
  </si>
  <si>
    <t>④ 남캐 흥분도 (SEX 씬)</t>
  </si>
  <si>
    <t>최대값</t>
  </si>
  <si>
    <t>600</t>
  </si>
  <si>
    <t>10분 = 600초</t>
  </si>
  <si>
    <t>자동 증가</t>
  </si>
  <si>
    <t>+1/초</t>
  </si>
  <si>
    <t>시간 경과</t>
  </si>
  <si>
    <t>penis 클릭 시</t>
  </si>
  <si>
    <t>+3</t>
  </si>
  <si>
    <t>추가 증가</t>
  </si>
  <si>
    <t>600 도달</t>
  </si>
  <si>
    <t>실패 (triggerFail)</t>
  </si>
  <si>
    <t>사정 조절 실패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</si>
</sst>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C9A84C"/>
      <name val="Arial"/>
    </font>
    <font>
      <b/>
      <sz val="12"/>
      <color rgb="FF1A1A2E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C9A84C"/>
      <name val="Arial"/>
    </font>
    <font>
      <b/>
      <sz val="10"/>
      <color rgb="FFC9A84C"/>
      <name val="Arial"/>
    </font>
    <font>
      <b/>
      <sz val="10"/>
      <color rgb="FFE94560"/>
      <name val="Arial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9A84C"/>
      </patternFill>
    </fill>
    <fill>
      <patternFill patternType="solid">
        <fgColor rgb="FF4C7BC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5E6B8"/>
      </patternFill>
    </fill>
    <fill>
      <patternFill patternType="solid">
        <fgColor rgb="FF9C4CC9"/>
      </patternFill>
    </fill>
    <fill>
      <patternFill patternType="solid">
        <fgColor rgb="FFEAD5F5"/>
      </patternFill>
    </fill>
    <fill>
      <patternFill patternType="solid">
        <fgColor rgb="FFE94560"/>
      </patternFill>
    </fill>
    <fill>
      <patternFill patternType="solid">
        <fgColor rgb="FFFADADD"/>
      </patternFill>
    </fill>
    <fill>
      <patternFill patternType="solid">
        <fgColor rgb="FF4CAF50"/>
      </patternFill>
    </fill>
    <fill>
      <patternFill patternType="solid">
        <fgColor rgb="FFD5F5D5"/>
      </patternFill>
    </fill>
    <fill>
      <patternFill patternType="solid">
        <fgColor rgb="FFFFD700"/>
      </patternFill>
    </fill>
    <fill>
      <patternFill patternType="solid">
        <fgColor rgb="FFDAE8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showGridLines="0" tabSelected="1" workbookViewId="0">
      <selection sqref="A1:E1"/>
    </sheetView>
  </sheetViews>
  <sheetFormatPr defaultRowHeight="16.5" x14ac:dyDescent="0.3"/>
  <cols>
    <col min="1" max="1" width="22" customWidth="1"/>
    <col min="2" max="3" width="18" customWidth="1"/>
    <col min="4" max="4" width="28" customWidth="1"/>
    <col min="5" max="5" width="20" customWidth="1"/>
  </cols>
  <sheetData>
    <row r="1" spans="1:5" ht="30" customHeight="1" x14ac:dyDescent="0.3">
      <c r="A1" s="44" t="s">
        <v>0</v>
      </c>
      <c r="B1" s="45"/>
      <c r="C1" s="45"/>
      <c r="D1" s="45"/>
      <c r="E1" s="45"/>
    </row>
    <row r="3" spans="1:5" x14ac:dyDescent="0.3">
      <c r="A3" s="41" t="s">
        <v>1</v>
      </c>
      <c r="B3" s="42"/>
      <c r="C3" s="42"/>
      <c r="D3" s="42"/>
      <c r="E3" s="42"/>
    </row>
    <row r="4" spans="1:5" x14ac:dyDescent="0.3">
      <c r="A4" s="2" t="s">
        <v>2</v>
      </c>
      <c r="B4" s="2" t="s">
        <v>3</v>
      </c>
      <c r="C4" s="46" t="s">
        <v>4</v>
      </c>
      <c r="D4" s="42"/>
      <c r="E4" s="42"/>
    </row>
    <row r="5" spans="1:5" x14ac:dyDescent="0.3">
      <c r="A5" s="3" t="s">
        <v>5</v>
      </c>
      <c r="B5" s="4" t="s">
        <v>6</v>
      </c>
      <c r="C5" s="43" t="s">
        <v>7</v>
      </c>
      <c r="D5" s="42"/>
      <c r="E5" s="42"/>
    </row>
    <row r="6" spans="1:5" x14ac:dyDescent="0.3">
      <c r="A6" s="3" t="s">
        <v>8</v>
      </c>
      <c r="B6" s="4" t="s">
        <v>9</v>
      </c>
      <c r="C6" s="43" t="s">
        <v>10</v>
      </c>
      <c r="D6" s="42"/>
      <c r="E6" s="42"/>
    </row>
    <row r="7" spans="1:5" x14ac:dyDescent="0.3">
      <c r="A7" s="3" t="s">
        <v>11</v>
      </c>
      <c r="B7" s="4" t="s">
        <v>12</v>
      </c>
      <c r="C7" s="43"/>
      <c r="D7" s="42"/>
      <c r="E7" s="42"/>
    </row>
    <row r="8" spans="1:5" x14ac:dyDescent="0.3">
      <c r="A8" s="3" t="s">
        <v>13</v>
      </c>
      <c r="B8" s="4" t="s">
        <v>14</v>
      </c>
      <c r="C8" s="43" t="s">
        <v>15</v>
      </c>
      <c r="D8" s="42"/>
      <c r="E8" s="42"/>
    </row>
    <row r="9" spans="1:5" x14ac:dyDescent="0.3">
      <c r="A9" s="3" t="s">
        <v>16</v>
      </c>
      <c r="B9" s="4" t="s">
        <v>17</v>
      </c>
      <c r="C9" s="43" t="s">
        <v>18</v>
      </c>
      <c r="D9" s="42"/>
      <c r="E9" s="42"/>
    </row>
    <row r="10" spans="1:5" x14ac:dyDescent="0.3">
      <c r="A10" s="3" t="s">
        <v>19</v>
      </c>
      <c r="B10" s="4" t="s">
        <v>20</v>
      </c>
      <c r="C10" s="43" t="s">
        <v>21</v>
      </c>
      <c r="D10" s="42"/>
      <c r="E10" s="42"/>
    </row>
    <row r="11" spans="1:5" x14ac:dyDescent="0.3">
      <c r="A11" s="1"/>
      <c r="B11" s="1"/>
      <c r="C11" s="1"/>
      <c r="D11" s="1"/>
      <c r="E11" s="1"/>
    </row>
    <row r="12" spans="1:5" x14ac:dyDescent="0.3">
      <c r="A12" s="41" t="s">
        <v>22</v>
      </c>
      <c r="B12" s="42"/>
      <c r="C12" s="42"/>
      <c r="D12" s="42"/>
      <c r="E12" s="42"/>
    </row>
    <row r="13" spans="1:5" x14ac:dyDescent="0.3">
      <c r="A13" s="2" t="s">
        <v>2</v>
      </c>
      <c r="B13" s="2" t="s">
        <v>23</v>
      </c>
      <c r="C13" s="2" t="s">
        <v>24</v>
      </c>
      <c r="D13" s="46" t="s">
        <v>25</v>
      </c>
      <c r="E13" s="42"/>
    </row>
    <row r="14" spans="1:5" x14ac:dyDescent="0.3">
      <c r="A14" s="5" t="s">
        <v>26</v>
      </c>
      <c r="B14" s="6" t="s">
        <v>27</v>
      </c>
      <c r="C14" s="4" t="s">
        <v>28</v>
      </c>
      <c r="D14" s="43"/>
      <c r="E14" s="42"/>
    </row>
    <row r="15" spans="1:5" x14ac:dyDescent="0.3">
      <c r="A15" s="5" t="s">
        <v>29</v>
      </c>
      <c r="B15" s="6" t="s">
        <v>27</v>
      </c>
      <c r="C15" s="4" t="s">
        <v>30</v>
      </c>
      <c r="D15" s="43" t="s">
        <v>31</v>
      </c>
      <c r="E15" s="42"/>
    </row>
    <row r="16" spans="1:5" x14ac:dyDescent="0.3">
      <c r="A16" s="5" t="s">
        <v>32</v>
      </c>
      <c r="B16" s="6" t="s">
        <v>27</v>
      </c>
      <c r="C16" s="4" t="s">
        <v>33</v>
      </c>
      <c r="D16" s="43"/>
      <c r="E16" s="42"/>
    </row>
    <row r="17" spans="1:5" x14ac:dyDescent="0.3">
      <c r="A17" s="7" t="s">
        <v>34</v>
      </c>
      <c r="B17" s="6">
        <f>180</f>
        <v>180</v>
      </c>
      <c r="C17" s="4" t="s">
        <v>35</v>
      </c>
      <c r="D17" s="43" t="s">
        <v>36</v>
      </c>
      <c r="E17" s="42"/>
    </row>
    <row r="18" spans="1:5" x14ac:dyDescent="0.3">
      <c r="A18" s="1"/>
      <c r="B18" s="1"/>
      <c r="C18" s="1"/>
      <c r="D18" s="1"/>
      <c r="E18" s="1"/>
    </row>
    <row r="19" spans="1:5" x14ac:dyDescent="0.3">
      <c r="A19" s="41" t="s">
        <v>37</v>
      </c>
      <c r="B19" s="42"/>
      <c r="C19" s="42"/>
      <c r="D19" s="42"/>
      <c r="E19" s="42"/>
    </row>
    <row r="20" spans="1:5" x14ac:dyDescent="0.3">
      <c r="A20" s="8" t="s">
        <v>2</v>
      </c>
      <c r="B20" s="8" t="s">
        <v>38</v>
      </c>
      <c r="C20" s="8" t="s">
        <v>39</v>
      </c>
      <c r="D20" s="8" t="s">
        <v>40</v>
      </c>
      <c r="E20" s="8" t="s">
        <v>23</v>
      </c>
    </row>
    <row r="21" spans="1:5" x14ac:dyDescent="0.3">
      <c r="A21" s="9" t="s">
        <v>41</v>
      </c>
      <c r="B21" s="6" t="s">
        <v>42</v>
      </c>
      <c r="C21" s="6" t="s">
        <v>43</v>
      </c>
      <c r="D21" s="6" t="s">
        <v>44</v>
      </c>
      <c r="E21" s="10" t="s">
        <v>45</v>
      </c>
    </row>
    <row r="22" spans="1:5" x14ac:dyDescent="0.3">
      <c r="A22" s="9" t="s">
        <v>46</v>
      </c>
      <c r="B22" s="6" t="s">
        <v>47</v>
      </c>
      <c r="C22" s="6" t="s">
        <v>43</v>
      </c>
      <c r="D22" s="6" t="s">
        <v>48</v>
      </c>
      <c r="E22" s="10" t="s">
        <v>45</v>
      </c>
    </row>
    <row r="23" spans="1:5" x14ac:dyDescent="0.3">
      <c r="A23" s="9" t="s">
        <v>49</v>
      </c>
      <c r="B23" s="6" t="s">
        <v>50</v>
      </c>
      <c r="C23" s="6" t="s">
        <v>43</v>
      </c>
      <c r="D23" s="6" t="s">
        <v>51</v>
      </c>
      <c r="E23" s="10" t="s">
        <v>45</v>
      </c>
    </row>
    <row r="24" spans="1:5" x14ac:dyDescent="0.3">
      <c r="A24" s="1"/>
      <c r="B24" s="1"/>
      <c r="C24" s="1"/>
      <c r="D24" s="1"/>
      <c r="E24" s="1"/>
    </row>
    <row r="25" spans="1:5" x14ac:dyDescent="0.3">
      <c r="A25" s="41" t="s">
        <v>52</v>
      </c>
      <c r="B25" s="42"/>
      <c r="C25" s="42"/>
      <c r="D25" s="42"/>
      <c r="E25" s="42"/>
    </row>
    <row r="26" spans="1:5" x14ac:dyDescent="0.3">
      <c r="A26" s="11" t="s">
        <v>2</v>
      </c>
      <c r="B26" s="11" t="s">
        <v>23</v>
      </c>
      <c r="C26" s="11" t="s">
        <v>53</v>
      </c>
      <c r="D26" s="11" t="s">
        <v>54</v>
      </c>
      <c r="E26" s="11" t="s">
        <v>4</v>
      </c>
    </row>
    <row r="27" spans="1:5" x14ac:dyDescent="0.3">
      <c r="A27" s="12" t="s">
        <v>55</v>
      </c>
      <c r="B27" s="6" t="s">
        <v>56</v>
      </c>
      <c r="C27" s="6" t="s">
        <v>57</v>
      </c>
      <c r="D27" s="6" t="s">
        <v>58</v>
      </c>
      <c r="E27" s="4" t="s">
        <v>59</v>
      </c>
    </row>
    <row r="28" spans="1:5" x14ac:dyDescent="0.3">
      <c r="A28" s="12" t="s">
        <v>60</v>
      </c>
      <c r="B28" s="6" t="s">
        <v>56</v>
      </c>
      <c r="C28" s="6" t="s">
        <v>61</v>
      </c>
      <c r="D28" s="6" t="s">
        <v>62</v>
      </c>
      <c r="E28" s="4" t="s">
        <v>63</v>
      </c>
    </row>
    <row r="29" spans="1:5" x14ac:dyDescent="0.3">
      <c r="A29" s="1"/>
      <c r="B29" s="1"/>
      <c r="C29" s="1"/>
      <c r="D29" s="1"/>
      <c r="E29" s="1"/>
    </row>
    <row r="30" spans="1:5" x14ac:dyDescent="0.3">
      <c r="A30" s="41" t="s">
        <v>64</v>
      </c>
      <c r="B30" s="42"/>
      <c r="C30" s="42"/>
      <c r="D30" s="42"/>
      <c r="E30" s="42"/>
    </row>
    <row r="31" spans="1:5" x14ac:dyDescent="0.3">
      <c r="A31" s="13" t="s">
        <v>65</v>
      </c>
      <c r="B31" s="47" t="s">
        <v>66</v>
      </c>
      <c r="C31" s="42"/>
      <c r="D31" s="42"/>
      <c r="E31" s="42"/>
    </row>
    <row r="32" spans="1:5" x14ac:dyDescent="0.3">
      <c r="A32" s="14" t="s">
        <v>67</v>
      </c>
      <c r="B32" s="43" t="s">
        <v>68</v>
      </c>
      <c r="C32" s="42"/>
      <c r="D32" s="42"/>
      <c r="E32" s="42"/>
    </row>
    <row r="33" spans="1:5" x14ac:dyDescent="0.3">
      <c r="A33" s="14" t="s">
        <v>69</v>
      </c>
      <c r="B33" s="43" t="s">
        <v>70</v>
      </c>
      <c r="C33" s="42"/>
      <c r="D33" s="42"/>
      <c r="E33" s="42"/>
    </row>
    <row r="34" spans="1:5" x14ac:dyDescent="0.3">
      <c r="A34" s="14" t="s">
        <v>71</v>
      </c>
      <c r="B34" s="43" t="s">
        <v>72</v>
      </c>
      <c r="C34" s="42"/>
      <c r="D34" s="42"/>
      <c r="E34" s="42"/>
    </row>
    <row r="35" spans="1:5" x14ac:dyDescent="0.3">
      <c r="A35" s="14" t="s">
        <v>73</v>
      </c>
      <c r="B35" s="43" t="s">
        <v>74</v>
      </c>
      <c r="C35" s="42"/>
      <c r="D35" s="42"/>
      <c r="E35" s="42"/>
    </row>
    <row r="36" spans="1:5" x14ac:dyDescent="0.3">
      <c r="A36" s="14" t="s">
        <v>75</v>
      </c>
      <c r="B36" s="43" t="s">
        <v>76</v>
      </c>
      <c r="C36" s="42"/>
      <c r="D36" s="42"/>
      <c r="E36" s="42"/>
    </row>
  </sheetData>
  <mergeCells count="24">
    <mergeCell ref="B34:E34"/>
    <mergeCell ref="C10:E10"/>
    <mergeCell ref="C6:E6"/>
    <mergeCell ref="C5:E5"/>
    <mergeCell ref="D15:E15"/>
    <mergeCell ref="A19:E19"/>
    <mergeCell ref="C4:E4"/>
    <mergeCell ref="D14:E14"/>
    <mergeCell ref="A30:E30"/>
    <mergeCell ref="C9:E9"/>
    <mergeCell ref="B33:E33"/>
    <mergeCell ref="A1:E1"/>
    <mergeCell ref="B36:E36"/>
    <mergeCell ref="B32:E32"/>
    <mergeCell ref="B35:E35"/>
    <mergeCell ref="D13:E13"/>
    <mergeCell ref="A25:E25"/>
    <mergeCell ref="C8:E8"/>
    <mergeCell ref="C7:E7"/>
    <mergeCell ref="D17:E17"/>
    <mergeCell ref="A3:E3"/>
    <mergeCell ref="B31:E31"/>
    <mergeCell ref="A12:E12"/>
    <mergeCell ref="D16:E16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workbookViewId="0">
      <selection sqref="A1:G1"/>
    </sheetView>
  </sheetViews>
  <sheetFormatPr defaultRowHeight="16.5" x14ac:dyDescent="0.3"/>
  <cols>
    <col min="1" max="1" width="22" customWidth="1"/>
    <col min="2" max="6" width="14" customWidth="1"/>
    <col min="7" max="7" width="22" customWidth="1"/>
  </cols>
  <sheetData>
    <row r="1" spans="1:7" ht="30" customHeight="1" x14ac:dyDescent="0.3">
      <c r="A1" s="44" t="s">
        <v>77</v>
      </c>
      <c r="B1" s="45"/>
      <c r="C1" s="45"/>
      <c r="D1" s="45"/>
      <c r="E1" s="45"/>
      <c r="F1" s="45"/>
      <c r="G1" s="45"/>
    </row>
    <row r="3" spans="1:7" x14ac:dyDescent="0.3">
      <c r="A3" s="41" t="s">
        <v>78</v>
      </c>
      <c r="B3" s="42"/>
      <c r="C3" s="42"/>
      <c r="D3" s="42"/>
      <c r="E3" s="42"/>
      <c r="F3" s="42"/>
      <c r="G3" s="42"/>
    </row>
    <row r="4" spans="1:7" x14ac:dyDescent="0.3">
      <c r="A4" s="2" t="s">
        <v>2</v>
      </c>
      <c r="B4" s="2" t="s">
        <v>79</v>
      </c>
      <c r="C4" s="2" t="s">
        <v>80</v>
      </c>
      <c r="D4" s="2" t="s">
        <v>81</v>
      </c>
      <c r="E4" s="2" t="s">
        <v>34</v>
      </c>
      <c r="F4" s="46" t="s">
        <v>4</v>
      </c>
      <c r="G4" s="42"/>
    </row>
    <row r="5" spans="1:7" x14ac:dyDescent="0.3">
      <c r="A5" s="3" t="s">
        <v>82</v>
      </c>
      <c r="B5" s="6" t="s">
        <v>83</v>
      </c>
      <c r="C5" s="6" t="s">
        <v>83</v>
      </c>
      <c r="D5" s="6" t="s">
        <v>83</v>
      </c>
      <c r="E5" s="15">
        <f>100</f>
        <v>100</v>
      </c>
      <c r="F5" s="43" t="s">
        <v>84</v>
      </c>
      <c r="G5" s="42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41" t="s">
        <v>85</v>
      </c>
      <c r="B7" s="42"/>
      <c r="C7" s="42"/>
      <c r="D7" s="42"/>
      <c r="E7" s="42"/>
      <c r="F7" s="42"/>
      <c r="G7" s="42"/>
    </row>
    <row r="8" spans="1:7" x14ac:dyDescent="0.3">
      <c r="A8" s="2" t="s">
        <v>2</v>
      </c>
      <c r="B8" s="2" t="s">
        <v>86</v>
      </c>
      <c r="C8" s="2" t="s">
        <v>13</v>
      </c>
      <c r="D8" s="2" t="s">
        <v>87</v>
      </c>
      <c r="E8" s="2" t="s">
        <v>88</v>
      </c>
      <c r="F8" s="2" t="s">
        <v>34</v>
      </c>
      <c r="G8" s="2" t="s">
        <v>4</v>
      </c>
    </row>
    <row r="9" spans="1:7" x14ac:dyDescent="0.3">
      <c r="A9" s="3" t="s">
        <v>82</v>
      </c>
      <c r="B9" s="6" t="s">
        <v>27</v>
      </c>
      <c r="C9" s="6" t="s">
        <v>27</v>
      </c>
      <c r="D9" s="6" t="s">
        <v>27</v>
      </c>
      <c r="E9" s="6" t="s">
        <v>27</v>
      </c>
      <c r="F9" s="15">
        <f>100</f>
        <v>100</v>
      </c>
      <c r="G9" s="4" t="s">
        <v>89</v>
      </c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41" t="s">
        <v>90</v>
      </c>
      <c r="B11" s="42"/>
      <c r="C11" s="42"/>
      <c r="D11" s="42"/>
      <c r="E11" s="42"/>
      <c r="F11" s="42"/>
      <c r="G11" s="42"/>
    </row>
    <row r="12" spans="1:7" x14ac:dyDescent="0.3">
      <c r="A12" s="8" t="s">
        <v>2</v>
      </c>
      <c r="B12" s="8" t="s">
        <v>91</v>
      </c>
      <c r="C12" s="8" t="s">
        <v>92</v>
      </c>
      <c r="D12" s="8" t="s">
        <v>93</v>
      </c>
      <c r="E12" s="8" t="s">
        <v>94</v>
      </c>
      <c r="F12" s="8" t="s">
        <v>34</v>
      </c>
      <c r="G12" s="8" t="s">
        <v>4</v>
      </c>
    </row>
    <row r="13" spans="1:7" x14ac:dyDescent="0.3">
      <c r="A13" s="9" t="s">
        <v>82</v>
      </c>
      <c r="B13" s="6" t="s">
        <v>27</v>
      </c>
      <c r="C13" s="6" t="s">
        <v>27</v>
      </c>
      <c r="D13" s="6" t="s">
        <v>27</v>
      </c>
      <c r="E13" s="6" t="s">
        <v>27</v>
      </c>
      <c r="F13" s="15">
        <f>100</f>
        <v>100</v>
      </c>
      <c r="G13" s="4" t="s">
        <v>95</v>
      </c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41" t="s">
        <v>96</v>
      </c>
      <c r="B15" s="42"/>
      <c r="C15" s="42"/>
      <c r="D15" s="42"/>
      <c r="E15" s="42"/>
      <c r="F15" s="42"/>
      <c r="G15" s="42"/>
    </row>
    <row r="16" spans="1:7" x14ac:dyDescent="0.3">
      <c r="A16" s="13" t="s">
        <v>2</v>
      </c>
      <c r="B16" s="13" t="s">
        <v>23</v>
      </c>
      <c r="C16" s="13" t="s">
        <v>97</v>
      </c>
      <c r="D16" s="13" t="s">
        <v>98</v>
      </c>
      <c r="E16" s="13" t="s">
        <v>99</v>
      </c>
      <c r="F16" s="47" t="s">
        <v>4</v>
      </c>
      <c r="G16" s="42"/>
    </row>
    <row r="17" spans="1:7" x14ac:dyDescent="0.3">
      <c r="A17" s="16" t="s">
        <v>100</v>
      </c>
      <c r="B17" s="6" t="s">
        <v>27</v>
      </c>
      <c r="C17" s="6" t="s">
        <v>101</v>
      </c>
      <c r="D17" s="6" t="s">
        <v>102</v>
      </c>
      <c r="E17" s="6" t="s">
        <v>103</v>
      </c>
      <c r="F17" s="43" t="s">
        <v>104</v>
      </c>
      <c r="G17" s="42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41" t="s">
        <v>105</v>
      </c>
      <c r="B19" s="42"/>
      <c r="C19" s="42"/>
      <c r="D19" s="42"/>
      <c r="E19" s="42"/>
      <c r="F19" s="42"/>
      <c r="G19" s="42"/>
    </row>
    <row r="20" spans="1:7" x14ac:dyDescent="0.3">
      <c r="A20" s="11" t="s">
        <v>2</v>
      </c>
      <c r="B20" s="11" t="s">
        <v>106</v>
      </c>
      <c r="C20" s="11" t="s">
        <v>107</v>
      </c>
      <c r="D20" s="11" t="s">
        <v>108</v>
      </c>
      <c r="E20" s="11" t="s">
        <v>109</v>
      </c>
      <c r="F20" s="11" t="s">
        <v>34</v>
      </c>
      <c r="G20" s="11" t="s">
        <v>4</v>
      </c>
    </row>
    <row r="21" spans="1:7" x14ac:dyDescent="0.3">
      <c r="A21" s="12" t="s">
        <v>82</v>
      </c>
      <c r="B21" s="6" t="s">
        <v>27</v>
      </c>
      <c r="C21" s="6" t="s">
        <v>27</v>
      </c>
      <c r="D21" s="6" t="s">
        <v>27</v>
      </c>
      <c r="E21" s="6" t="s">
        <v>27</v>
      </c>
      <c r="F21" s="15">
        <f>100</f>
        <v>100</v>
      </c>
      <c r="G21" s="4" t="s">
        <v>110</v>
      </c>
    </row>
    <row r="22" spans="1:7" x14ac:dyDescent="0.3">
      <c r="A22" s="3" t="s">
        <v>111</v>
      </c>
      <c r="B22" s="48" t="s">
        <v>112</v>
      </c>
      <c r="C22" s="42"/>
      <c r="D22" s="42"/>
      <c r="E22" s="42"/>
      <c r="F22" s="42"/>
      <c r="G22" s="42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41" t="s">
        <v>113</v>
      </c>
      <c r="B24" s="42"/>
      <c r="C24" s="42"/>
      <c r="D24" s="42"/>
      <c r="E24" s="42"/>
      <c r="F24" s="42"/>
      <c r="G24" s="42"/>
    </row>
    <row r="25" spans="1:7" x14ac:dyDescent="0.3">
      <c r="A25" s="11" t="s">
        <v>2</v>
      </c>
      <c r="B25" s="11" t="s">
        <v>114</v>
      </c>
      <c r="C25" s="11" t="s">
        <v>115</v>
      </c>
      <c r="D25" s="11" t="s">
        <v>34</v>
      </c>
      <c r="E25" s="49" t="s">
        <v>4</v>
      </c>
      <c r="F25" s="42"/>
      <c r="G25" s="42"/>
    </row>
    <row r="26" spans="1:7" x14ac:dyDescent="0.3">
      <c r="A26" s="12" t="s">
        <v>82</v>
      </c>
      <c r="B26" s="6" t="s">
        <v>116</v>
      </c>
      <c r="C26" s="6" t="e">
        <f>100 - size</f>
        <v>#NAME?</v>
      </c>
      <c r="D26" s="15">
        <f>100</f>
        <v>100</v>
      </c>
      <c r="E26" s="43" t="s">
        <v>117</v>
      </c>
      <c r="F26" s="42"/>
      <c r="G26" s="42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41" t="s">
        <v>118</v>
      </c>
      <c r="B28" s="42"/>
      <c r="C28" s="42"/>
      <c r="D28" s="42"/>
      <c r="E28" s="42"/>
      <c r="F28" s="42"/>
      <c r="G28" s="42"/>
    </row>
    <row r="29" spans="1:7" x14ac:dyDescent="0.3">
      <c r="A29" s="8" t="s">
        <v>2</v>
      </c>
      <c r="B29" s="8" t="s">
        <v>119</v>
      </c>
      <c r="C29" s="8" t="s">
        <v>120</v>
      </c>
      <c r="D29" s="8" t="s">
        <v>121</v>
      </c>
      <c r="E29" s="8" t="s">
        <v>122</v>
      </c>
      <c r="F29" s="8" t="s">
        <v>34</v>
      </c>
      <c r="G29" s="8" t="s">
        <v>4</v>
      </c>
    </row>
    <row r="30" spans="1:7" ht="25.5" x14ac:dyDescent="0.3">
      <c r="A30" s="9" t="s">
        <v>123</v>
      </c>
      <c r="B30" s="6" t="s">
        <v>45</v>
      </c>
      <c r="C30" s="6" t="s">
        <v>45</v>
      </c>
      <c r="D30" s="6" t="s">
        <v>45</v>
      </c>
      <c r="E30" s="17" t="s">
        <v>124</v>
      </c>
      <c r="F30" s="15">
        <f>10</f>
        <v>10</v>
      </c>
      <c r="G30" s="4" t="s">
        <v>125</v>
      </c>
    </row>
  </sheetData>
  <mergeCells count="15">
    <mergeCell ref="A28:G28"/>
    <mergeCell ref="A24:G24"/>
    <mergeCell ref="E26:G26"/>
    <mergeCell ref="A15:G15"/>
    <mergeCell ref="A7:G7"/>
    <mergeCell ref="E25:G25"/>
    <mergeCell ref="A19:G19"/>
    <mergeCell ref="A11:G11"/>
    <mergeCell ref="F17:G17"/>
    <mergeCell ref="F4:G4"/>
    <mergeCell ref="A1:G1"/>
    <mergeCell ref="B22:G22"/>
    <mergeCell ref="F16:G16"/>
    <mergeCell ref="A3:G3"/>
    <mergeCell ref="F5:G5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selection sqref="A1:G1"/>
    </sheetView>
  </sheetViews>
  <sheetFormatPr defaultRowHeight="16.5" x14ac:dyDescent="0.3"/>
  <cols>
    <col min="1" max="1" width="22" customWidth="1"/>
    <col min="2" max="6" width="14" customWidth="1"/>
    <col min="7" max="7" width="22" customWidth="1"/>
  </cols>
  <sheetData>
    <row r="1" spans="1:7" ht="30" customHeight="1" x14ac:dyDescent="0.3">
      <c r="A1" s="44" t="s">
        <v>126</v>
      </c>
      <c r="B1" s="45"/>
      <c r="C1" s="45"/>
      <c r="D1" s="45"/>
      <c r="E1" s="45"/>
      <c r="F1" s="45"/>
      <c r="G1" s="45"/>
    </row>
    <row r="3" spans="1:7" x14ac:dyDescent="0.3">
      <c r="A3" s="41" t="s">
        <v>127</v>
      </c>
      <c r="B3" s="42"/>
      <c r="C3" s="42"/>
      <c r="D3" s="42"/>
      <c r="E3" s="42"/>
      <c r="F3" s="42"/>
      <c r="G3" s="42"/>
    </row>
    <row r="4" spans="1:7" x14ac:dyDescent="0.3">
      <c r="A4" s="11" t="s">
        <v>128</v>
      </c>
      <c r="B4" s="11" t="s">
        <v>129</v>
      </c>
      <c r="C4" s="11" t="s">
        <v>23</v>
      </c>
      <c r="D4" s="11" t="s">
        <v>130</v>
      </c>
      <c r="E4" s="11" t="s">
        <v>131</v>
      </c>
      <c r="F4" s="11" t="s">
        <v>132</v>
      </c>
      <c r="G4" s="11" t="s">
        <v>4</v>
      </c>
    </row>
    <row r="5" spans="1:7" x14ac:dyDescent="0.3">
      <c r="A5" s="18" t="s">
        <v>133</v>
      </c>
      <c r="B5" s="19" t="s">
        <v>134</v>
      </c>
      <c r="C5" s="19" t="s">
        <v>135</v>
      </c>
      <c r="D5" s="19" t="s">
        <v>136</v>
      </c>
      <c r="E5" s="14" t="s">
        <v>137</v>
      </c>
      <c r="F5" s="19" t="s">
        <v>138</v>
      </c>
      <c r="G5" s="18"/>
    </row>
    <row r="6" spans="1:7" x14ac:dyDescent="0.3">
      <c r="A6" s="4" t="s">
        <v>139</v>
      </c>
      <c r="B6" s="6" t="s">
        <v>140</v>
      </c>
      <c r="C6" s="6" t="s">
        <v>135</v>
      </c>
      <c r="D6" s="6" t="s">
        <v>136</v>
      </c>
      <c r="E6" s="14" t="s">
        <v>137</v>
      </c>
      <c r="F6" s="6" t="s">
        <v>141</v>
      </c>
      <c r="G6" s="4"/>
    </row>
    <row r="7" spans="1:7" x14ac:dyDescent="0.3">
      <c r="A7" s="18" t="s">
        <v>142</v>
      </c>
      <c r="B7" s="19" t="s">
        <v>143</v>
      </c>
      <c r="C7" s="19" t="s">
        <v>135</v>
      </c>
      <c r="D7" s="19" t="s">
        <v>136</v>
      </c>
      <c r="E7" s="14" t="s">
        <v>137</v>
      </c>
      <c r="F7" s="19" t="s">
        <v>138</v>
      </c>
      <c r="G7" s="18" t="s">
        <v>144</v>
      </c>
    </row>
    <row r="8" spans="1:7" x14ac:dyDescent="0.3">
      <c r="A8" s="4" t="s">
        <v>145</v>
      </c>
      <c r="B8" s="6" t="s">
        <v>146</v>
      </c>
      <c r="C8" s="6" t="s">
        <v>135</v>
      </c>
      <c r="D8" s="6" t="s">
        <v>136</v>
      </c>
      <c r="E8" s="14" t="s">
        <v>137</v>
      </c>
      <c r="F8" s="6" t="s">
        <v>141</v>
      </c>
      <c r="G8" s="4"/>
    </row>
    <row r="9" spans="1:7" x14ac:dyDescent="0.3">
      <c r="A9" s="3" t="s">
        <v>147</v>
      </c>
      <c r="B9" s="19" t="s">
        <v>148</v>
      </c>
      <c r="C9" s="19" t="s">
        <v>149</v>
      </c>
      <c r="D9" s="19" t="s">
        <v>150</v>
      </c>
      <c r="E9" s="14" t="s">
        <v>137</v>
      </c>
      <c r="F9" s="19" t="s">
        <v>151</v>
      </c>
      <c r="G9" s="18"/>
    </row>
    <row r="10" spans="1:7" x14ac:dyDescent="0.3">
      <c r="A10" s="4" t="s">
        <v>152</v>
      </c>
      <c r="B10" s="6" t="s">
        <v>153</v>
      </c>
      <c r="C10" s="6" t="s">
        <v>154</v>
      </c>
      <c r="D10" s="6" t="s">
        <v>155</v>
      </c>
      <c r="E10" s="20" t="s">
        <v>156</v>
      </c>
      <c r="F10" s="6" t="s">
        <v>157</v>
      </c>
      <c r="G10" s="4" t="s">
        <v>158</v>
      </c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41" t="s">
        <v>159</v>
      </c>
      <c r="B12" s="42"/>
      <c r="C12" s="42"/>
      <c r="D12" s="42"/>
      <c r="E12" s="42"/>
      <c r="F12" s="42"/>
      <c r="G12" s="42"/>
    </row>
    <row r="13" spans="1:7" x14ac:dyDescent="0.3">
      <c r="A13" s="8" t="s">
        <v>128</v>
      </c>
      <c r="B13" s="8" t="s">
        <v>129</v>
      </c>
      <c r="C13" s="8" t="s">
        <v>23</v>
      </c>
      <c r="D13" s="8" t="s">
        <v>130</v>
      </c>
      <c r="E13" s="8" t="s">
        <v>131</v>
      </c>
      <c r="F13" s="8" t="s">
        <v>132</v>
      </c>
      <c r="G13" s="8" t="s">
        <v>4</v>
      </c>
    </row>
    <row r="14" spans="1:7" x14ac:dyDescent="0.3">
      <c r="A14" s="9" t="s">
        <v>160</v>
      </c>
      <c r="B14" s="21" t="s">
        <v>161</v>
      </c>
      <c r="C14" s="21" t="s">
        <v>162</v>
      </c>
      <c r="D14" s="21" t="s">
        <v>136</v>
      </c>
      <c r="E14" s="14" t="s">
        <v>137</v>
      </c>
      <c r="F14" s="21" t="s">
        <v>163</v>
      </c>
      <c r="G14" s="22"/>
    </row>
    <row r="15" spans="1:7" x14ac:dyDescent="0.3">
      <c r="A15" s="23" t="s">
        <v>164</v>
      </c>
      <c r="B15" s="6" t="s">
        <v>165</v>
      </c>
      <c r="C15" s="6" t="s">
        <v>166</v>
      </c>
      <c r="D15" s="6" t="s">
        <v>150</v>
      </c>
      <c r="E15" s="14" t="s">
        <v>137</v>
      </c>
      <c r="F15" s="6" t="s">
        <v>167</v>
      </c>
      <c r="G15" s="4" t="e">
        <f>15 - clitoris</f>
        <v>#NAME?</v>
      </c>
    </row>
  </sheetData>
  <mergeCells count="3">
    <mergeCell ref="A3:G3"/>
    <mergeCell ref="A1:G1"/>
    <mergeCell ref="A12:G1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showGridLines="0" workbookViewId="0">
      <selection sqref="A1:J1"/>
    </sheetView>
  </sheetViews>
  <sheetFormatPr defaultRowHeight="16.5" x14ac:dyDescent="0.3"/>
  <cols>
    <col min="1" max="1" width="16" customWidth="1"/>
    <col min="2" max="10" width="12" customWidth="1"/>
  </cols>
  <sheetData>
    <row r="1" spans="1:10" ht="30" customHeight="1" x14ac:dyDescent="0.3">
      <c r="A1" s="44" t="s">
        <v>168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x14ac:dyDescent="0.3">
      <c r="A3" s="24" t="s">
        <v>169</v>
      </c>
      <c r="B3" s="24" t="s">
        <v>145</v>
      </c>
      <c r="C3" s="24" t="s">
        <v>170</v>
      </c>
      <c r="D3" s="24" t="s">
        <v>171</v>
      </c>
      <c r="E3" s="24" t="s">
        <v>172</v>
      </c>
      <c r="F3" s="24" t="s">
        <v>160</v>
      </c>
      <c r="G3" s="24" t="s">
        <v>164</v>
      </c>
      <c r="H3" s="24" t="s">
        <v>152</v>
      </c>
      <c r="I3" s="24" t="s">
        <v>173</v>
      </c>
      <c r="J3" s="24" t="s">
        <v>142</v>
      </c>
    </row>
    <row r="4" spans="1:10" x14ac:dyDescent="0.3">
      <c r="A4" s="25" t="s">
        <v>174</v>
      </c>
      <c r="B4" s="14">
        <v>1.3</v>
      </c>
      <c r="C4" s="14">
        <v>1.2</v>
      </c>
      <c r="D4" s="10">
        <v>1.1000000000000001</v>
      </c>
      <c r="E4" s="10">
        <v>1.1000000000000001</v>
      </c>
      <c r="F4" s="26">
        <v>1.5</v>
      </c>
      <c r="G4" s="14">
        <v>1.2</v>
      </c>
      <c r="H4" s="27">
        <v>-0.2</v>
      </c>
      <c r="I4" s="14">
        <v>1.2</v>
      </c>
      <c r="J4" s="14">
        <v>1.2</v>
      </c>
    </row>
    <row r="5" spans="1:10" x14ac:dyDescent="0.3">
      <c r="A5" s="25" t="s">
        <v>175</v>
      </c>
      <c r="B5" s="14">
        <v>1.2</v>
      </c>
      <c r="C5" s="6">
        <v>0.6</v>
      </c>
      <c r="D5" s="6">
        <v>0.8</v>
      </c>
      <c r="E5" s="6">
        <v>1.1000000000000001</v>
      </c>
      <c r="F5" s="14">
        <v>1.2</v>
      </c>
      <c r="G5" s="14">
        <v>1.3</v>
      </c>
      <c r="H5" s="27">
        <v>-0.2</v>
      </c>
      <c r="I5" s="6">
        <v>0.4</v>
      </c>
      <c r="J5" s="27">
        <v>-0.1</v>
      </c>
    </row>
    <row r="6" spans="1:10" x14ac:dyDescent="0.3">
      <c r="A6" s="25" t="s">
        <v>176</v>
      </c>
      <c r="B6" s="10">
        <v>1</v>
      </c>
      <c r="C6" s="27">
        <v>-0.2</v>
      </c>
      <c r="D6" s="27">
        <v>-0.2</v>
      </c>
      <c r="E6" s="27">
        <v>-0.2</v>
      </c>
      <c r="F6" s="10">
        <v>1.1000000000000001</v>
      </c>
      <c r="G6" s="26">
        <v>1.8</v>
      </c>
      <c r="H6" s="26">
        <v>1.5</v>
      </c>
      <c r="I6" s="10">
        <v>1.1000000000000001</v>
      </c>
      <c r="J6" s="27">
        <v>-0.1</v>
      </c>
    </row>
    <row r="7" spans="1:10" x14ac:dyDescent="0.3">
      <c r="A7" s="25" t="s">
        <v>177</v>
      </c>
      <c r="B7" s="6">
        <v>0.5</v>
      </c>
      <c r="C7" s="27">
        <v>-0.2</v>
      </c>
      <c r="D7" s="27">
        <v>-0.2</v>
      </c>
      <c r="E7" s="6">
        <v>0.6</v>
      </c>
      <c r="F7" s="6">
        <v>1.1000000000000001</v>
      </c>
      <c r="G7" s="14">
        <v>1.3</v>
      </c>
      <c r="H7" s="27">
        <v>-0.2</v>
      </c>
      <c r="I7" s="6">
        <v>0.4</v>
      </c>
      <c r="J7" s="27">
        <v>-0.1</v>
      </c>
    </row>
    <row r="8" spans="1:10" x14ac:dyDescent="0.3">
      <c r="A8" s="25" t="s">
        <v>178</v>
      </c>
      <c r="B8" s="10">
        <v>0.8</v>
      </c>
      <c r="C8" s="27">
        <v>-0.2</v>
      </c>
      <c r="D8" s="27">
        <v>-0.2</v>
      </c>
      <c r="E8" s="10">
        <v>0.8</v>
      </c>
      <c r="F8" s="14">
        <v>1.3</v>
      </c>
      <c r="G8" s="14">
        <v>1.2</v>
      </c>
      <c r="H8" s="27">
        <v>-0.2</v>
      </c>
      <c r="I8" s="27">
        <v>-0.1</v>
      </c>
      <c r="J8" s="27">
        <v>-0.1</v>
      </c>
    </row>
    <row r="9" spans="1:10" x14ac:dyDescent="0.3">
      <c r="A9" s="25" t="s">
        <v>179</v>
      </c>
      <c r="B9" s="27">
        <v>-0.2</v>
      </c>
      <c r="C9" s="27">
        <v>-0.2</v>
      </c>
      <c r="D9" s="27">
        <v>-0.2</v>
      </c>
      <c r="E9" s="27">
        <v>-0.2</v>
      </c>
      <c r="F9" s="27">
        <v>-0.2</v>
      </c>
      <c r="G9" s="27">
        <v>-0.2</v>
      </c>
      <c r="H9" s="6">
        <v>1.1000000000000001</v>
      </c>
      <c r="I9" s="27">
        <v>-0.2</v>
      </c>
      <c r="J9" s="27">
        <v>-0.1</v>
      </c>
    </row>
    <row r="10" spans="1:10" x14ac:dyDescent="0.3">
      <c r="A10" s="25" t="s">
        <v>180</v>
      </c>
      <c r="B10" s="10" t="s">
        <v>157</v>
      </c>
      <c r="C10" s="10" t="s">
        <v>157</v>
      </c>
      <c r="D10" s="10" t="s">
        <v>157</v>
      </c>
      <c r="E10" s="10" t="s">
        <v>157</v>
      </c>
      <c r="F10" s="10" t="s">
        <v>157</v>
      </c>
      <c r="G10" s="10" t="s">
        <v>157</v>
      </c>
      <c r="H10" s="10" t="s">
        <v>157</v>
      </c>
      <c r="I10" s="10" t="s">
        <v>157</v>
      </c>
      <c r="J10" s="10" t="s">
        <v>157</v>
      </c>
    </row>
    <row r="11" spans="1:10" x14ac:dyDescent="0.3">
      <c r="A11" s="25" t="s">
        <v>181</v>
      </c>
      <c r="B11" s="28" t="s">
        <v>182</v>
      </c>
      <c r="C11" s="28" t="s">
        <v>182</v>
      </c>
      <c r="D11" s="28" t="s">
        <v>182</v>
      </c>
      <c r="E11" s="28" t="s">
        <v>182</v>
      </c>
      <c r="F11" s="28" t="s">
        <v>182</v>
      </c>
      <c r="G11" s="28" t="s">
        <v>182</v>
      </c>
      <c r="H11" s="28" t="s">
        <v>182</v>
      </c>
      <c r="I11" s="28" t="s">
        <v>182</v>
      </c>
      <c r="J11" s="28" t="s">
        <v>182</v>
      </c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46" t="s">
        <v>183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10" x14ac:dyDescent="0.3">
      <c r="A14" s="29" t="s">
        <v>184</v>
      </c>
      <c r="B14" s="43" t="s">
        <v>185</v>
      </c>
      <c r="C14" s="42"/>
      <c r="D14" s="42"/>
      <c r="E14" s="42"/>
      <c r="F14" s="42"/>
      <c r="G14" s="42"/>
      <c r="H14" s="42"/>
      <c r="I14" s="42"/>
      <c r="J14" s="42"/>
    </row>
    <row r="15" spans="1:10" x14ac:dyDescent="0.3">
      <c r="A15" s="16" t="s">
        <v>186</v>
      </c>
      <c r="B15" s="43" t="s">
        <v>187</v>
      </c>
      <c r="C15" s="42"/>
      <c r="D15" s="42"/>
      <c r="E15" s="42"/>
      <c r="F15" s="42"/>
      <c r="G15" s="42"/>
      <c r="H15" s="42"/>
      <c r="I15" s="42"/>
      <c r="J15" s="42"/>
    </row>
    <row r="16" spans="1:10" x14ac:dyDescent="0.3">
      <c r="A16" s="12" t="s">
        <v>188</v>
      </c>
      <c r="B16" s="43" t="s">
        <v>189</v>
      </c>
      <c r="C16" s="42"/>
      <c r="D16" s="42"/>
      <c r="E16" s="42"/>
      <c r="F16" s="42"/>
      <c r="G16" s="42"/>
      <c r="H16" s="42"/>
      <c r="I16" s="42"/>
      <c r="J16" s="42"/>
    </row>
    <row r="17" spans="1:10" x14ac:dyDescent="0.3">
      <c r="A17" s="9" t="s">
        <v>190</v>
      </c>
      <c r="B17" s="43" t="s">
        <v>191</v>
      </c>
      <c r="C17" s="42"/>
      <c r="D17" s="42"/>
      <c r="E17" s="42"/>
      <c r="F17" s="42"/>
      <c r="G17" s="42"/>
      <c r="H17" s="42"/>
      <c r="I17" s="42"/>
      <c r="J17" s="42"/>
    </row>
  </sheetData>
  <mergeCells count="6">
    <mergeCell ref="B15:J15"/>
    <mergeCell ref="A1:J1"/>
    <mergeCell ref="B14:J14"/>
    <mergeCell ref="B17:J17"/>
    <mergeCell ref="A13:J13"/>
    <mergeCell ref="B16:J16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showGridLines="0" workbookViewId="0">
      <selection sqref="A1:F1"/>
    </sheetView>
  </sheetViews>
  <sheetFormatPr defaultRowHeight="16.5" x14ac:dyDescent="0.3"/>
  <cols>
    <col min="1" max="1" width="24" customWidth="1"/>
    <col min="2" max="4" width="20" customWidth="1"/>
    <col min="5" max="5" width="16" customWidth="1"/>
    <col min="6" max="6" width="24" customWidth="1"/>
  </cols>
  <sheetData>
    <row r="1" spans="1:6" ht="30" customHeight="1" x14ac:dyDescent="0.3">
      <c r="A1" s="44" t="s">
        <v>192</v>
      </c>
      <c r="B1" s="45"/>
      <c r="C1" s="45"/>
      <c r="D1" s="45"/>
      <c r="E1" s="45"/>
      <c r="F1" s="45"/>
    </row>
    <row r="3" spans="1:6" x14ac:dyDescent="0.3">
      <c r="A3" s="41" t="s">
        <v>193</v>
      </c>
      <c r="B3" s="42"/>
      <c r="C3" s="42"/>
      <c r="D3" s="42"/>
      <c r="E3" s="42"/>
      <c r="F3" s="42"/>
    </row>
    <row r="4" spans="1:6" ht="30" customHeight="1" x14ac:dyDescent="0.3">
      <c r="A4" s="53" t="s">
        <v>194</v>
      </c>
      <c r="B4" s="42"/>
      <c r="C4" s="42"/>
      <c r="D4" s="42"/>
      <c r="E4" s="42"/>
      <c r="F4" s="42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2" t="s">
        <v>195</v>
      </c>
      <c r="B6" s="2" t="s">
        <v>24</v>
      </c>
      <c r="C6" s="2" t="s">
        <v>196</v>
      </c>
      <c r="D6" s="2" t="s">
        <v>197</v>
      </c>
      <c r="E6" s="2" t="s">
        <v>198</v>
      </c>
      <c r="F6" s="2" t="s">
        <v>4</v>
      </c>
    </row>
    <row r="7" spans="1:6" ht="25.5" x14ac:dyDescent="0.3">
      <c r="A7" s="30" t="s">
        <v>199</v>
      </c>
      <c r="B7" s="31" t="s">
        <v>200</v>
      </c>
      <c r="C7" s="32" t="s">
        <v>201</v>
      </c>
      <c r="D7" s="33" t="s">
        <v>202</v>
      </c>
      <c r="E7" s="34" t="s">
        <v>203</v>
      </c>
      <c r="F7" s="31" t="s">
        <v>204</v>
      </c>
    </row>
    <row r="8" spans="1:6" ht="25.5" x14ac:dyDescent="0.3">
      <c r="A8" s="23" t="s">
        <v>205</v>
      </c>
      <c r="B8" s="4" t="s">
        <v>206</v>
      </c>
      <c r="C8" s="35" t="s">
        <v>207</v>
      </c>
      <c r="D8" s="6" t="s">
        <v>208</v>
      </c>
      <c r="E8" s="34" t="s">
        <v>203</v>
      </c>
      <c r="F8" s="4" t="s">
        <v>209</v>
      </c>
    </row>
    <row r="9" spans="1:6" x14ac:dyDescent="0.3">
      <c r="A9" s="30" t="s">
        <v>210</v>
      </c>
      <c r="B9" s="31" t="s">
        <v>211</v>
      </c>
      <c r="C9" s="32" t="s">
        <v>212</v>
      </c>
      <c r="D9" s="33" t="s">
        <v>213</v>
      </c>
      <c r="E9" s="34" t="s">
        <v>203</v>
      </c>
      <c r="F9" s="31" t="s">
        <v>214</v>
      </c>
    </row>
    <row r="10" spans="1:6" x14ac:dyDescent="0.3">
      <c r="A10" s="23" t="s">
        <v>215</v>
      </c>
      <c r="B10" s="4" t="s">
        <v>216</v>
      </c>
      <c r="C10" s="35" t="s">
        <v>217</v>
      </c>
      <c r="D10" s="6" t="s">
        <v>218</v>
      </c>
      <c r="E10" s="34" t="s">
        <v>203</v>
      </c>
      <c r="F10" s="4" t="s">
        <v>219</v>
      </c>
    </row>
    <row r="11" spans="1:6" x14ac:dyDescent="0.3">
      <c r="A11" s="30" t="s">
        <v>220</v>
      </c>
      <c r="B11" s="31" t="s">
        <v>221</v>
      </c>
      <c r="C11" s="32" t="s">
        <v>222</v>
      </c>
      <c r="D11" s="33" t="s">
        <v>223</v>
      </c>
      <c r="E11" s="19" t="s">
        <v>224</v>
      </c>
      <c r="F11" s="31" t="s">
        <v>225</v>
      </c>
    </row>
    <row r="12" spans="1:6" ht="25.5" x14ac:dyDescent="0.3">
      <c r="A12" s="23" t="s">
        <v>226</v>
      </c>
      <c r="B12" s="4" t="s">
        <v>227</v>
      </c>
      <c r="C12" s="35" t="s">
        <v>228</v>
      </c>
      <c r="D12" s="6" t="s">
        <v>229</v>
      </c>
      <c r="E12" s="19" t="s">
        <v>224</v>
      </c>
      <c r="F12" s="4" t="s">
        <v>230</v>
      </c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41" t="s">
        <v>231</v>
      </c>
      <c r="B14" s="42"/>
      <c r="C14" s="42"/>
      <c r="D14" s="42"/>
      <c r="E14" s="42"/>
      <c r="F14" s="42"/>
    </row>
    <row r="15" spans="1:6" x14ac:dyDescent="0.3">
      <c r="A15" s="8" t="s">
        <v>232</v>
      </c>
      <c r="B15" s="8" t="s">
        <v>233</v>
      </c>
      <c r="C15" s="8" t="s">
        <v>234</v>
      </c>
      <c r="D15" s="54" t="s">
        <v>4</v>
      </c>
      <c r="E15" s="42"/>
      <c r="F15" s="42"/>
    </row>
    <row r="16" spans="1:6" x14ac:dyDescent="0.3">
      <c r="A16" s="28" t="s">
        <v>235</v>
      </c>
      <c r="B16" s="21" t="s">
        <v>236</v>
      </c>
      <c r="C16" s="21" t="s">
        <v>237</v>
      </c>
      <c r="D16" s="52" t="s">
        <v>238</v>
      </c>
      <c r="E16" s="42"/>
      <c r="F16" s="42"/>
    </row>
    <row r="17" spans="1:6" x14ac:dyDescent="0.3">
      <c r="A17" s="36" t="s">
        <v>239</v>
      </c>
      <c r="B17" s="6" t="s">
        <v>240</v>
      </c>
      <c r="C17" s="6" t="s">
        <v>241</v>
      </c>
      <c r="D17" s="43" t="s">
        <v>242</v>
      </c>
      <c r="E17" s="42"/>
      <c r="F17" s="42"/>
    </row>
    <row r="18" spans="1:6" x14ac:dyDescent="0.3">
      <c r="A18" s="28" t="s">
        <v>243</v>
      </c>
      <c r="B18" s="21" t="s">
        <v>244</v>
      </c>
      <c r="C18" s="21" t="s">
        <v>245</v>
      </c>
      <c r="D18" s="52" t="s">
        <v>246</v>
      </c>
      <c r="E18" s="42"/>
      <c r="F18" s="42"/>
    </row>
    <row r="19" spans="1:6" x14ac:dyDescent="0.3">
      <c r="A19" s="36" t="s">
        <v>247</v>
      </c>
      <c r="B19" s="6" t="s">
        <v>248</v>
      </c>
      <c r="C19" s="6" t="s">
        <v>224</v>
      </c>
      <c r="D19" s="43" t="s">
        <v>249</v>
      </c>
      <c r="E19" s="42"/>
      <c r="F19" s="42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51" t="s">
        <v>250</v>
      </c>
      <c r="B21" s="42"/>
      <c r="C21" s="42"/>
      <c r="D21" s="42"/>
      <c r="E21" s="42"/>
      <c r="F21" s="42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41" t="s">
        <v>251</v>
      </c>
      <c r="B23" s="42"/>
      <c r="C23" s="42"/>
      <c r="D23" s="42"/>
      <c r="E23" s="42"/>
      <c r="F23" s="42"/>
    </row>
    <row r="24" spans="1:6" x14ac:dyDescent="0.3">
      <c r="A24" s="11" t="s">
        <v>252</v>
      </c>
      <c r="B24" s="11" t="s">
        <v>253</v>
      </c>
      <c r="C24" s="11" t="s">
        <v>254</v>
      </c>
      <c r="D24" s="49" t="s">
        <v>4</v>
      </c>
      <c r="E24" s="42"/>
      <c r="F24" s="42"/>
    </row>
    <row r="25" spans="1:6" x14ac:dyDescent="0.3">
      <c r="A25" s="12" t="s">
        <v>255</v>
      </c>
      <c r="B25" s="18" t="s">
        <v>256</v>
      </c>
      <c r="C25" s="20" t="s">
        <v>257</v>
      </c>
      <c r="D25" s="50" t="s">
        <v>258</v>
      </c>
      <c r="E25" s="42"/>
      <c r="F25" s="42"/>
    </row>
    <row r="26" spans="1:6" x14ac:dyDescent="0.3">
      <c r="A26" s="23" t="s">
        <v>259</v>
      </c>
      <c r="B26" s="4" t="s">
        <v>260</v>
      </c>
      <c r="C26" s="36" t="s">
        <v>261</v>
      </c>
      <c r="D26" s="43" t="s">
        <v>262</v>
      </c>
      <c r="E26" s="42"/>
      <c r="F26" s="42"/>
    </row>
    <row r="27" spans="1:6" x14ac:dyDescent="0.3">
      <c r="A27" s="12" t="s">
        <v>263</v>
      </c>
      <c r="B27" s="18" t="s">
        <v>264</v>
      </c>
      <c r="C27" s="20" t="s">
        <v>264</v>
      </c>
      <c r="D27" s="50" t="s">
        <v>265</v>
      </c>
      <c r="E27" s="42"/>
      <c r="F27" s="42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56" t="s">
        <v>266</v>
      </c>
      <c r="B29" s="42"/>
      <c r="C29" s="42"/>
      <c r="D29" s="42"/>
      <c r="E29" s="42"/>
      <c r="F29" s="42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41" t="s">
        <v>267</v>
      </c>
      <c r="B31" s="42"/>
      <c r="C31" s="42"/>
      <c r="D31" s="42"/>
      <c r="E31" s="42"/>
      <c r="F31" s="42"/>
    </row>
    <row r="32" spans="1:6" x14ac:dyDescent="0.3">
      <c r="A32" s="13" t="s">
        <v>2</v>
      </c>
      <c r="B32" s="13" t="s">
        <v>268</v>
      </c>
      <c r="C32" s="13" t="s">
        <v>196</v>
      </c>
      <c r="D32" s="47" t="s">
        <v>4</v>
      </c>
      <c r="E32" s="42"/>
      <c r="F32" s="42"/>
    </row>
    <row r="33" spans="1:6" x14ac:dyDescent="0.3">
      <c r="A33" s="37" t="s">
        <v>269</v>
      </c>
      <c r="B33" s="34" t="s">
        <v>270</v>
      </c>
      <c r="C33" s="37" t="s">
        <v>271</v>
      </c>
      <c r="D33" s="55"/>
      <c r="E33" s="42"/>
      <c r="F33" s="42"/>
    </row>
    <row r="34" spans="1:6" x14ac:dyDescent="0.3">
      <c r="A34" s="4" t="s">
        <v>221</v>
      </c>
      <c r="B34" s="6" t="s">
        <v>270</v>
      </c>
      <c r="C34" s="4" t="s">
        <v>272</v>
      </c>
      <c r="D34" s="43"/>
      <c r="E34" s="42"/>
      <c r="F34" s="42"/>
    </row>
    <row r="35" spans="1:6" x14ac:dyDescent="0.3">
      <c r="A35" s="7" t="s">
        <v>273</v>
      </c>
      <c r="B35" s="15" t="s">
        <v>274</v>
      </c>
      <c r="C35" s="38" t="s">
        <v>275</v>
      </c>
      <c r="D35" s="57"/>
      <c r="E35" s="42"/>
      <c r="F35" s="42"/>
    </row>
  </sheetData>
  <mergeCells count="21">
    <mergeCell ref="A1:F1"/>
    <mergeCell ref="D33:F33"/>
    <mergeCell ref="A29:F29"/>
    <mergeCell ref="D24:F24"/>
    <mergeCell ref="A31:F31"/>
    <mergeCell ref="D35:F35"/>
    <mergeCell ref="D26:F26"/>
    <mergeCell ref="D34:F34"/>
    <mergeCell ref="D27:F27"/>
    <mergeCell ref="D32:F32"/>
    <mergeCell ref="D17:F17"/>
    <mergeCell ref="A3:F3"/>
    <mergeCell ref="A21:F21"/>
    <mergeCell ref="D16:F16"/>
    <mergeCell ref="A14:F14"/>
    <mergeCell ref="A23:F23"/>
    <mergeCell ref="D18:F18"/>
    <mergeCell ref="A4:F4"/>
    <mergeCell ref="D25:F25"/>
    <mergeCell ref="D15:F15"/>
    <mergeCell ref="D19:F19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showGridLines="0" workbookViewId="0">
      <selection sqref="A1:G1"/>
    </sheetView>
  </sheetViews>
  <sheetFormatPr defaultRowHeight="16.5" x14ac:dyDescent="0.3"/>
  <cols>
    <col min="1" max="1" width="16" customWidth="1"/>
    <col min="2" max="2" width="14" customWidth="1"/>
    <col min="3" max="3" width="16" customWidth="1"/>
    <col min="4" max="4" width="18" customWidth="1"/>
    <col min="5" max="6" width="16" customWidth="1"/>
    <col min="7" max="7" width="30" customWidth="1"/>
  </cols>
  <sheetData>
    <row r="1" spans="1:7" ht="30" customHeight="1" x14ac:dyDescent="0.3">
      <c r="A1" s="44" t="s">
        <v>276</v>
      </c>
      <c r="B1" s="45"/>
      <c r="C1" s="45"/>
      <c r="D1" s="45"/>
      <c r="E1" s="45"/>
      <c r="F1" s="45"/>
      <c r="G1" s="45"/>
    </row>
    <row r="3" spans="1:7" x14ac:dyDescent="0.3">
      <c r="A3" s="41" t="s">
        <v>277</v>
      </c>
      <c r="B3" s="42"/>
      <c r="C3" s="42"/>
      <c r="D3" s="42"/>
      <c r="E3" s="42"/>
      <c r="F3" s="42"/>
      <c r="G3" s="42"/>
    </row>
    <row r="4" spans="1:7" x14ac:dyDescent="0.3">
      <c r="A4" s="3" t="s">
        <v>278</v>
      </c>
      <c r="B4" s="48" t="s">
        <v>279</v>
      </c>
      <c r="C4" s="42"/>
      <c r="D4" s="42"/>
      <c r="E4" s="42"/>
      <c r="F4" s="42"/>
      <c r="G4" s="42"/>
    </row>
    <row r="5" spans="1:7" x14ac:dyDescent="0.3">
      <c r="A5" s="23" t="s">
        <v>280</v>
      </c>
      <c r="B5" s="43" t="s">
        <v>281</v>
      </c>
      <c r="C5" s="42"/>
      <c r="D5" s="42"/>
      <c r="E5" s="42"/>
      <c r="F5" s="42"/>
      <c r="G5" s="42"/>
    </row>
    <row r="6" spans="1:7" x14ac:dyDescent="0.3">
      <c r="A6" s="3" t="s">
        <v>282</v>
      </c>
      <c r="B6" s="48" t="s">
        <v>283</v>
      </c>
      <c r="C6" s="42"/>
      <c r="D6" s="42"/>
      <c r="E6" s="42"/>
      <c r="F6" s="42"/>
      <c r="G6" s="42"/>
    </row>
    <row r="7" spans="1:7" x14ac:dyDescent="0.3">
      <c r="A7" s="23" t="s">
        <v>284</v>
      </c>
      <c r="B7" s="43" t="s">
        <v>285</v>
      </c>
      <c r="C7" s="42"/>
      <c r="D7" s="42"/>
      <c r="E7" s="42"/>
      <c r="F7" s="42"/>
      <c r="G7" s="42"/>
    </row>
    <row r="8" spans="1:7" x14ac:dyDescent="0.3">
      <c r="A8" s="3" t="s">
        <v>286</v>
      </c>
      <c r="B8" s="48" t="s">
        <v>287</v>
      </c>
      <c r="C8" s="42"/>
      <c r="D8" s="42"/>
      <c r="E8" s="42"/>
      <c r="F8" s="42"/>
      <c r="G8" s="42"/>
    </row>
    <row r="9" spans="1:7" x14ac:dyDescent="0.3">
      <c r="A9" s="23" t="s">
        <v>288</v>
      </c>
      <c r="B9" s="43" t="s">
        <v>289</v>
      </c>
      <c r="C9" s="42"/>
      <c r="D9" s="42"/>
      <c r="E9" s="42"/>
      <c r="F9" s="42"/>
      <c r="G9" s="42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41" t="s">
        <v>290</v>
      </c>
      <c r="B11" s="42"/>
      <c r="C11" s="42"/>
      <c r="D11" s="42"/>
      <c r="E11" s="42"/>
      <c r="F11" s="42"/>
      <c r="G11" s="42"/>
    </row>
    <row r="12" spans="1:7" x14ac:dyDescent="0.3">
      <c r="A12" s="2" t="s">
        <v>291</v>
      </c>
      <c r="B12" s="2" t="s">
        <v>292</v>
      </c>
      <c r="C12" s="2" t="s">
        <v>293</v>
      </c>
      <c r="D12" s="2" t="s">
        <v>294</v>
      </c>
      <c r="E12" s="2" t="s">
        <v>295</v>
      </c>
      <c r="F12" s="2" t="s">
        <v>296</v>
      </c>
      <c r="G12" s="2" t="s">
        <v>297</v>
      </c>
    </row>
    <row r="13" spans="1:7" x14ac:dyDescent="0.3">
      <c r="A13" s="39" t="s">
        <v>298</v>
      </c>
      <c r="B13" s="10">
        <v>150</v>
      </c>
      <c r="C13" s="10" t="s">
        <v>299</v>
      </c>
      <c r="D13" s="10">
        <v>150</v>
      </c>
      <c r="E13" s="10" t="s">
        <v>300</v>
      </c>
      <c r="F13" s="10" t="s">
        <v>301</v>
      </c>
      <c r="G13" s="5" t="s">
        <v>302</v>
      </c>
    </row>
    <row r="14" spans="1:7" x14ac:dyDescent="0.3">
      <c r="A14" s="36" t="s">
        <v>303</v>
      </c>
      <c r="B14" s="6">
        <v>350</v>
      </c>
      <c r="C14" s="6" t="s">
        <v>304</v>
      </c>
      <c r="D14" s="6">
        <v>200</v>
      </c>
      <c r="E14" s="6" t="s">
        <v>305</v>
      </c>
      <c r="F14" s="6" t="s">
        <v>306</v>
      </c>
      <c r="G14" s="4" t="s">
        <v>307</v>
      </c>
    </row>
    <row r="15" spans="1:7" x14ac:dyDescent="0.3">
      <c r="A15" s="39" t="s">
        <v>308</v>
      </c>
      <c r="B15" s="10">
        <v>600</v>
      </c>
      <c r="C15" s="10" t="s">
        <v>309</v>
      </c>
      <c r="D15" s="10">
        <v>250</v>
      </c>
      <c r="E15" s="10" t="s">
        <v>310</v>
      </c>
      <c r="F15" s="10" t="s">
        <v>311</v>
      </c>
      <c r="G15" s="5" t="s">
        <v>312</v>
      </c>
    </row>
    <row r="16" spans="1:7" x14ac:dyDescent="0.3">
      <c r="A16" s="15" t="s">
        <v>313</v>
      </c>
      <c r="B16" s="20">
        <v>800</v>
      </c>
      <c r="C16" s="40" t="s">
        <v>304</v>
      </c>
      <c r="D16" s="40">
        <v>200</v>
      </c>
      <c r="E16" s="40" t="s">
        <v>305</v>
      </c>
      <c r="F16" s="40" t="s">
        <v>314</v>
      </c>
      <c r="G16" s="38" t="s">
        <v>315</v>
      </c>
    </row>
    <row r="17" spans="1:7" x14ac:dyDescent="0.3">
      <c r="A17" s="39" t="s">
        <v>316</v>
      </c>
      <c r="B17" s="10" t="s">
        <v>317</v>
      </c>
      <c r="C17" s="10" t="s">
        <v>299</v>
      </c>
      <c r="D17" s="10" t="s">
        <v>317</v>
      </c>
      <c r="E17" s="10" t="s">
        <v>318</v>
      </c>
      <c r="F17" s="10" t="s">
        <v>319</v>
      </c>
      <c r="G17" s="5" t="s">
        <v>320</v>
      </c>
    </row>
    <row r="18" spans="1:7" x14ac:dyDescent="0.3">
      <c r="A18" s="36" t="s">
        <v>321</v>
      </c>
      <c r="B18" s="6" t="s">
        <v>317</v>
      </c>
      <c r="C18" s="6" t="s">
        <v>299</v>
      </c>
      <c r="D18" s="6" t="s">
        <v>317</v>
      </c>
      <c r="E18" s="6" t="s">
        <v>318</v>
      </c>
      <c r="F18" s="6" t="s">
        <v>322</v>
      </c>
      <c r="G18" s="4" t="s">
        <v>323</v>
      </c>
    </row>
    <row r="19" spans="1:7" x14ac:dyDescent="0.3">
      <c r="A19" s="39" t="s">
        <v>324</v>
      </c>
      <c r="B19" s="10" t="s">
        <v>317</v>
      </c>
      <c r="C19" s="10" t="s">
        <v>299</v>
      </c>
      <c r="D19" s="10" t="s">
        <v>317</v>
      </c>
      <c r="E19" s="10" t="s">
        <v>318</v>
      </c>
      <c r="F19" s="10" t="s">
        <v>325</v>
      </c>
      <c r="G19" s="5" t="s">
        <v>326</v>
      </c>
    </row>
    <row r="20" spans="1:7" x14ac:dyDescent="0.3">
      <c r="A20" s="36" t="s">
        <v>327</v>
      </c>
      <c r="B20" s="6" t="s">
        <v>317</v>
      </c>
      <c r="C20" s="6" t="s">
        <v>328</v>
      </c>
      <c r="D20" s="6" t="s">
        <v>317</v>
      </c>
      <c r="E20" s="6" t="s">
        <v>318</v>
      </c>
      <c r="F20" s="6" t="s">
        <v>329</v>
      </c>
      <c r="G20" s="4" t="s">
        <v>330</v>
      </c>
    </row>
    <row r="21" spans="1:7" x14ac:dyDescent="0.3">
      <c r="A21" s="39" t="s">
        <v>331</v>
      </c>
      <c r="B21" s="10" t="s">
        <v>317</v>
      </c>
      <c r="C21" s="10" t="s">
        <v>328</v>
      </c>
      <c r="D21" s="10" t="s">
        <v>317</v>
      </c>
      <c r="E21" s="10" t="s">
        <v>318</v>
      </c>
      <c r="F21" s="10" t="s">
        <v>332</v>
      </c>
      <c r="G21" s="5" t="s">
        <v>333</v>
      </c>
    </row>
    <row r="22" spans="1:7" x14ac:dyDescent="0.3">
      <c r="A22" s="36" t="s">
        <v>334</v>
      </c>
      <c r="B22" s="20">
        <v>800</v>
      </c>
      <c r="C22" s="6" t="s">
        <v>328</v>
      </c>
      <c r="D22" s="6" t="s">
        <v>317</v>
      </c>
      <c r="E22" s="6" t="s">
        <v>318</v>
      </c>
      <c r="F22" s="6" t="s">
        <v>335</v>
      </c>
      <c r="G22" s="4" t="s">
        <v>336</v>
      </c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41" t="s">
        <v>337</v>
      </c>
      <c r="B24" s="42"/>
      <c r="C24" s="42"/>
      <c r="D24" s="42"/>
      <c r="E24" s="42"/>
      <c r="F24" s="42"/>
      <c r="G24" s="42"/>
    </row>
    <row r="25" spans="1:7" x14ac:dyDescent="0.3">
      <c r="A25" s="13" t="s">
        <v>338</v>
      </c>
      <c r="B25" s="13" t="s">
        <v>339</v>
      </c>
      <c r="C25" s="47" t="s">
        <v>340</v>
      </c>
      <c r="D25" s="42"/>
      <c r="E25" s="42"/>
      <c r="F25" s="42"/>
      <c r="G25" s="42"/>
    </row>
    <row r="26" spans="1:7" x14ac:dyDescent="0.3">
      <c r="A26" s="16" t="s">
        <v>341</v>
      </c>
      <c r="B26" s="14" t="s">
        <v>342</v>
      </c>
      <c r="C26" s="55" t="s">
        <v>343</v>
      </c>
      <c r="D26" s="42"/>
      <c r="E26" s="42"/>
      <c r="F26" s="42"/>
      <c r="G26" s="42"/>
    </row>
    <row r="27" spans="1:7" x14ac:dyDescent="0.3">
      <c r="A27" s="23" t="s">
        <v>344</v>
      </c>
      <c r="B27" s="36" t="s">
        <v>345</v>
      </c>
      <c r="C27" s="43" t="s">
        <v>346</v>
      </c>
      <c r="D27" s="42"/>
      <c r="E27" s="42"/>
      <c r="F27" s="42"/>
      <c r="G27" s="42"/>
    </row>
    <row r="28" spans="1:7" x14ac:dyDescent="0.3">
      <c r="A28" s="3" t="s">
        <v>347</v>
      </c>
      <c r="B28" s="39" t="s">
        <v>348</v>
      </c>
      <c r="C28" s="48" t="s">
        <v>349</v>
      </c>
      <c r="D28" s="42"/>
      <c r="E28" s="42"/>
      <c r="F28" s="42"/>
      <c r="G28" s="42"/>
    </row>
    <row r="29" spans="1:7" x14ac:dyDescent="0.3">
      <c r="A29" s="12" t="s">
        <v>350</v>
      </c>
      <c r="B29" s="20" t="s">
        <v>351</v>
      </c>
      <c r="C29" s="50" t="s">
        <v>352</v>
      </c>
      <c r="D29" s="42"/>
      <c r="E29" s="42"/>
      <c r="F29" s="42"/>
      <c r="G29" s="42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41" t="s">
        <v>353</v>
      </c>
      <c r="B31" s="42"/>
      <c r="C31" s="42"/>
      <c r="D31" s="42"/>
      <c r="E31" s="42"/>
      <c r="F31" s="42"/>
      <c r="G31" s="42"/>
    </row>
    <row r="32" spans="1:7" x14ac:dyDescent="0.3">
      <c r="A32" s="8" t="s">
        <v>291</v>
      </c>
      <c r="B32" s="54" t="s">
        <v>354</v>
      </c>
      <c r="C32" s="42"/>
      <c r="D32" s="42"/>
      <c r="E32" s="42"/>
      <c r="F32" s="42"/>
      <c r="G32" s="42"/>
    </row>
    <row r="33" spans="1:7" ht="30" customHeight="1" x14ac:dyDescent="0.3">
      <c r="A33" s="9" t="s">
        <v>355</v>
      </c>
      <c r="B33" s="59" t="s">
        <v>356</v>
      </c>
      <c r="C33" s="42"/>
      <c r="D33" s="42"/>
      <c r="E33" s="42"/>
      <c r="F33" s="42"/>
      <c r="G33" s="42"/>
    </row>
    <row r="34" spans="1:7" ht="30" customHeight="1" x14ac:dyDescent="0.3">
      <c r="A34" s="23" t="s">
        <v>357</v>
      </c>
      <c r="B34" s="58" t="s">
        <v>358</v>
      </c>
      <c r="C34" s="42"/>
      <c r="D34" s="42"/>
      <c r="E34" s="42"/>
      <c r="F34" s="42"/>
      <c r="G34" s="42"/>
    </row>
    <row r="35" spans="1:7" ht="30" customHeight="1" x14ac:dyDescent="0.3">
      <c r="A35" s="9" t="s">
        <v>359</v>
      </c>
      <c r="B35" s="59" t="s">
        <v>360</v>
      </c>
      <c r="C35" s="42"/>
      <c r="D35" s="42"/>
      <c r="E35" s="42"/>
      <c r="F35" s="42"/>
      <c r="G35" s="42"/>
    </row>
    <row r="36" spans="1:7" ht="30" customHeight="1" x14ac:dyDescent="0.3">
      <c r="A36" s="23" t="s">
        <v>361</v>
      </c>
      <c r="B36" s="58" t="s">
        <v>362</v>
      </c>
      <c r="C36" s="42"/>
      <c r="D36" s="42"/>
      <c r="E36" s="42"/>
      <c r="F36" s="42"/>
      <c r="G36" s="42"/>
    </row>
  </sheetData>
  <mergeCells count="21">
    <mergeCell ref="B6:G6"/>
    <mergeCell ref="A1:G1"/>
    <mergeCell ref="B5:G5"/>
    <mergeCell ref="B36:G36"/>
    <mergeCell ref="C27:G27"/>
    <mergeCell ref="B4:G4"/>
    <mergeCell ref="B32:G32"/>
    <mergeCell ref="B35:G35"/>
    <mergeCell ref="B7:G7"/>
    <mergeCell ref="A3:G3"/>
    <mergeCell ref="C28:G28"/>
    <mergeCell ref="B8:G8"/>
    <mergeCell ref="C26:G26"/>
    <mergeCell ref="C29:G29"/>
    <mergeCell ref="B34:G34"/>
    <mergeCell ref="A31:G31"/>
    <mergeCell ref="B9:G9"/>
    <mergeCell ref="C25:G25"/>
    <mergeCell ref="A24:G24"/>
    <mergeCell ref="A11:G11"/>
    <mergeCell ref="B33:G33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showGridLines="0" workbookViewId="0">
      <selection sqref="A1:E1"/>
    </sheetView>
  </sheetViews>
  <sheetFormatPr defaultRowHeight="16.5" x14ac:dyDescent="0.3"/>
  <cols>
    <col min="1" max="1" width="22" customWidth="1"/>
    <col min="2" max="3" width="16" customWidth="1"/>
    <col min="4" max="4" width="20" customWidth="1"/>
    <col min="5" max="5" width="24" customWidth="1"/>
  </cols>
  <sheetData>
    <row r="1" spans="1:5" ht="30" customHeight="1" x14ac:dyDescent="0.3">
      <c r="A1" s="44" t="s">
        <v>363</v>
      </c>
      <c r="B1" s="45"/>
      <c r="C1" s="45"/>
      <c r="D1" s="45"/>
      <c r="E1" s="45"/>
    </row>
    <row r="3" spans="1:5" x14ac:dyDescent="0.3">
      <c r="A3" s="41" t="s">
        <v>364</v>
      </c>
      <c r="B3" s="42"/>
      <c r="C3" s="42"/>
      <c r="D3" s="42"/>
      <c r="E3" s="42"/>
    </row>
    <row r="4" spans="1:5" x14ac:dyDescent="0.3">
      <c r="A4" s="2" t="s">
        <v>2</v>
      </c>
      <c r="B4" s="2" t="s">
        <v>23</v>
      </c>
      <c r="C4" s="2" t="s">
        <v>365</v>
      </c>
      <c r="D4" s="46" t="s">
        <v>4</v>
      </c>
      <c r="E4" s="42"/>
    </row>
    <row r="5" spans="1:5" x14ac:dyDescent="0.3">
      <c r="A5" s="30" t="s">
        <v>26</v>
      </c>
      <c r="B5" s="33" t="s">
        <v>27</v>
      </c>
      <c r="C5" s="33" t="s">
        <v>366</v>
      </c>
      <c r="D5" s="60"/>
      <c r="E5" s="42"/>
    </row>
    <row r="6" spans="1:5" x14ac:dyDescent="0.3">
      <c r="A6" s="23" t="s">
        <v>367</v>
      </c>
      <c r="B6" s="6" t="s">
        <v>368</v>
      </c>
      <c r="C6" s="6" t="s">
        <v>369</v>
      </c>
      <c r="D6" s="43" t="s">
        <v>136</v>
      </c>
      <c r="E6" s="42"/>
    </row>
    <row r="7" spans="1:5" x14ac:dyDescent="0.3">
      <c r="A7" s="30" t="s">
        <v>29</v>
      </c>
      <c r="B7" s="33" t="s">
        <v>27</v>
      </c>
      <c r="C7" s="33" t="s">
        <v>366</v>
      </c>
      <c r="D7" s="60"/>
      <c r="E7" s="42"/>
    </row>
    <row r="8" spans="1:5" x14ac:dyDescent="0.3">
      <c r="A8" s="23" t="s">
        <v>32</v>
      </c>
      <c r="B8" s="6" t="s">
        <v>27</v>
      </c>
      <c r="C8" s="6" t="s">
        <v>366</v>
      </c>
      <c r="D8" s="43"/>
      <c r="E8" s="42"/>
    </row>
    <row r="9" spans="1:5" x14ac:dyDescent="0.3">
      <c r="A9" s="30" t="s">
        <v>370</v>
      </c>
      <c r="B9" s="33" t="s">
        <v>27</v>
      </c>
      <c r="C9" s="33" t="s">
        <v>366</v>
      </c>
      <c r="D9" s="60" t="s">
        <v>371</v>
      </c>
      <c r="E9" s="42"/>
    </row>
    <row r="10" spans="1:5" x14ac:dyDescent="0.3">
      <c r="A10" s="23" t="s">
        <v>372</v>
      </c>
      <c r="B10" s="6" t="s">
        <v>27</v>
      </c>
      <c r="C10" s="6" t="s">
        <v>366</v>
      </c>
      <c r="D10" s="43" t="s">
        <v>371</v>
      </c>
      <c r="E10" s="42"/>
    </row>
    <row r="11" spans="1:5" x14ac:dyDescent="0.3">
      <c r="A11" s="1"/>
      <c r="B11" s="1"/>
      <c r="C11" s="1"/>
      <c r="D11" s="1"/>
      <c r="E11" s="1"/>
    </row>
    <row r="12" spans="1:5" x14ac:dyDescent="0.3">
      <c r="A12" s="41" t="s">
        <v>373</v>
      </c>
      <c r="B12" s="42"/>
      <c r="C12" s="42"/>
      <c r="D12" s="42"/>
      <c r="E12" s="42"/>
    </row>
    <row r="13" spans="1:5" x14ac:dyDescent="0.3">
      <c r="A13" s="11" t="s">
        <v>2</v>
      </c>
      <c r="B13" s="11" t="s">
        <v>23</v>
      </c>
      <c r="C13" s="11" t="s">
        <v>129</v>
      </c>
      <c r="D13" s="49" t="s">
        <v>4</v>
      </c>
      <c r="E13" s="42"/>
    </row>
    <row r="14" spans="1:5" x14ac:dyDescent="0.3">
      <c r="A14" s="12" t="s">
        <v>106</v>
      </c>
      <c r="B14" s="19" t="s">
        <v>27</v>
      </c>
      <c r="C14" s="19" t="s">
        <v>374</v>
      </c>
      <c r="D14" s="50" t="s">
        <v>108</v>
      </c>
      <c r="E14" s="42"/>
    </row>
    <row r="15" spans="1:5" x14ac:dyDescent="0.3">
      <c r="A15" s="23" t="s">
        <v>107</v>
      </c>
      <c r="B15" s="6" t="s">
        <v>27</v>
      </c>
      <c r="C15" s="6" t="s">
        <v>375</v>
      </c>
      <c r="D15" s="43"/>
      <c r="E15" s="42"/>
    </row>
    <row r="16" spans="1:5" x14ac:dyDescent="0.3">
      <c r="A16" s="12" t="s">
        <v>108</v>
      </c>
      <c r="B16" s="19" t="s">
        <v>27</v>
      </c>
      <c r="C16" s="19" t="s">
        <v>376</v>
      </c>
      <c r="D16" s="50"/>
      <c r="E16" s="42"/>
    </row>
    <row r="17" spans="1:5" x14ac:dyDescent="0.3">
      <c r="A17" s="23" t="s">
        <v>109</v>
      </c>
      <c r="B17" s="6" t="s">
        <v>27</v>
      </c>
      <c r="C17" s="6" t="s">
        <v>377</v>
      </c>
      <c r="D17" s="43"/>
      <c r="E17" s="42"/>
    </row>
    <row r="18" spans="1:5" x14ac:dyDescent="0.3">
      <c r="A18" s="1"/>
      <c r="B18" s="1"/>
      <c r="C18" s="1"/>
      <c r="D18" s="1"/>
      <c r="E18" s="1"/>
    </row>
    <row r="19" spans="1:5" x14ac:dyDescent="0.3">
      <c r="A19" s="41" t="s">
        <v>378</v>
      </c>
      <c r="B19" s="42"/>
      <c r="C19" s="42"/>
      <c r="D19" s="42"/>
      <c r="E19" s="42"/>
    </row>
    <row r="20" spans="1:5" x14ac:dyDescent="0.3">
      <c r="A20" s="13" t="s">
        <v>2</v>
      </c>
      <c r="B20" s="13" t="s">
        <v>23</v>
      </c>
      <c r="C20" s="13" t="s">
        <v>129</v>
      </c>
      <c r="D20" s="47" t="s">
        <v>4</v>
      </c>
      <c r="E20" s="42"/>
    </row>
    <row r="21" spans="1:5" x14ac:dyDescent="0.3">
      <c r="A21" s="16" t="s">
        <v>91</v>
      </c>
      <c r="B21" s="34" t="s">
        <v>27</v>
      </c>
      <c r="C21" s="34" t="s">
        <v>379</v>
      </c>
      <c r="D21" s="55" t="s">
        <v>380</v>
      </c>
      <c r="E21" s="42"/>
    </row>
    <row r="22" spans="1:5" x14ac:dyDescent="0.3">
      <c r="A22" s="23" t="s">
        <v>92</v>
      </c>
      <c r="B22" s="6" t="s">
        <v>27</v>
      </c>
      <c r="C22" s="6" t="s">
        <v>381</v>
      </c>
      <c r="D22" s="43"/>
      <c r="E22" s="42"/>
    </row>
    <row r="23" spans="1:5" x14ac:dyDescent="0.3">
      <c r="A23" s="16" t="s">
        <v>93</v>
      </c>
      <c r="B23" s="34" t="s">
        <v>27</v>
      </c>
      <c r="C23" s="34" t="s">
        <v>382</v>
      </c>
      <c r="D23" s="55"/>
      <c r="E23" s="42"/>
    </row>
    <row r="24" spans="1:5" x14ac:dyDescent="0.3">
      <c r="A24" s="23" t="s">
        <v>94</v>
      </c>
      <c r="B24" s="6" t="s">
        <v>27</v>
      </c>
      <c r="C24" s="6" t="s">
        <v>383</v>
      </c>
      <c r="D24" s="43"/>
      <c r="E24" s="42"/>
    </row>
    <row r="25" spans="1:5" x14ac:dyDescent="0.3">
      <c r="A25" s="16" t="s">
        <v>384</v>
      </c>
      <c r="B25" s="34" t="s">
        <v>385</v>
      </c>
      <c r="C25" s="34" t="s">
        <v>386</v>
      </c>
      <c r="D25" s="55" t="s">
        <v>387</v>
      </c>
      <c r="E25" s="42"/>
    </row>
    <row r="26" spans="1:5" x14ac:dyDescent="0.3">
      <c r="A26" s="23" t="s">
        <v>388</v>
      </c>
      <c r="B26" s="6" t="s">
        <v>27</v>
      </c>
      <c r="C26" s="6" t="s">
        <v>389</v>
      </c>
      <c r="D26" s="43" t="s">
        <v>390</v>
      </c>
      <c r="E26" s="42"/>
    </row>
    <row r="27" spans="1:5" x14ac:dyDescent="0.3">
      <c r="A27" s="1"/>
      <c r="B27" s="1"/>
      <c r="C27" s="1"/>
      <c r="D27" s="1"/>
      <c r="E27" s="1"/>
    </row>
    <row r="28" spans="1:5" x14ac:dyDescent="0.3">
      <c r="A28" s="41" t="s">
        <v>391</v>
      </c>
      <c r="B28" s="42"/>
      <c r="C28" s="42"/>
      <c r="D28" s="42"/>
      <c r="E28" s="42"/>
    </row>
    <row r="29" spans="1:5" x14ac:dyDescent="0.3">
      <c r="A29" s="3" t="s">
        <v>392</v>
      </c>
      <c r="B29" s="10" t="s">
        <v>393</v>
      </c>
      <c r="C29" s="48" t="s">
        <v>394</v>
      </c>
      <c r="D29" s="42"/>
      <c r="E29" s="42"/>
    </row>
    <row r="30" spans="1:5" x14ac:dyDescent="0.3">
      <c r="A30" s="23" t="s">
        <v>395</v>
      </c>
      <c r="B30" s="6" t="s">
        <v>396</v>
      </c>
      <c r="C30" s="43" t="s">
        <v>397</v>
      </c>
      <c r="D30" s="42"/>
      <c r="E30" s="42"/>
    </row>
    <row r="31" spans="1:5" x14ac:dyDescent="0.3">
      <c r="A31" s="3" t="s">
        <v>398</v>
      </c>
      <c r="B31" s="10" t="s">
        <v>399</v>
      </c>
      <c r="C31" s="48" t="s">
        <v>400</v>
      </c>
      <c r="D31" s="42"/>
      <c r="E31" s="42"/>
    </row>
    <row r="32" spans="1:5" x14ac:dyDescent="0.3">
      <c r="A32" s="12" t="s">
        <v>401</v>
      </c>
      <c r="B32" s="20" t="s">
        <v>402</v>
      </c>
      <c r="C32" s="50" t="s">
        <v>403</v>
      </c>
      <c r="D32" s="42"/>
      <c r="E32" s="42"/>
    </row>
  </sheetData>
  <mergeCells count="28">
    <mergeCell ref="C32:E32"/>
    <mergeCell ref="A3:E3"/>
    <mergeCell ref="A12:E12"/>
    <mergeCell ref="D16:E16"/>
    <mergeCell ref="D7:E7"/>
    <mergeCell ref="D4:E4"/>
    <mergeCell ref="C30:E30"/>
    <mergeCell ref="D9:E9"/>
    <mergeCell ref="D8:E8"/>
    <mergeCell ref="D25:E25"/>
    <mergeCell ref="D24:E24"/>
    <mergeCell ref="D15:E15"/>
    <mergeCell ref="A28:E28"/>
    <mergeCell ref="D5:E5"/>
    <mergeCell ref="A19:E19"/>
    <mergeCell ref="D23:E23"/>
    <mergeCell ref="D20:E20"/>
    <mergeCell ref="D10:E10"/>
    <mergeCell ref="C31:E31"/>
    <mergeCell ref="A1:E1"/>
    <mergeCell ref="D22:E22"/>
    <mergeCell ref="D21:E21"/>
    <mergeCell ref="D6:E6"/>
    <mergeCell ref="D13:E13"/>
    <mergeCell ref="D17:E17"/>
    <mergeCell ref="D14:E14"/>
    <mergeCell ref="C29:E29"/>
    <mergeCell ref="D26:E26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여캐 스탯</vt:lpstr>
      <vt:lpstr>여캐 선호도</vt:lpstr>
      <vt:lpstr>성감대 시스템</vt:lpstr>
      <vt:lpstr>도구×성감대 매트릭스</vt:lpstr>
      <vt:lpstr>SEX 씬 게인 &amp; 궁합</vt:lpstr>
      <vt:lpstr>데이트 시스템</vt:lpstr>
      <vt:lpstr>남캐 스탯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2026-09-12T12:38:33Z</dcterms:created>
  <dcterms:modified xsi:type="dcterms:W3CDTF">2026-09-12T12:40:16Z</dcterms:modified>
</cp:coreProperties>
</file>