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710c1bfbc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355b12ab2d4874"/>
    <x:sheet xmlns:r="http://schemas.openxmlformats.org/officeDocument/2006/relationships" name="Female_Profile" sheetId="2" r:id="Rbb975e0cce47474b"/>
    <x:sheet xmlns:r="http://schemas.openxmlformats.org/officeDocument/2006/relationships" name="Male_Profile" sheetId="3" r:id="Rdf05aeecb6cb464a"/>
    <x:sheet xmlns:r="http://schemas.openxmlformats.org/officeDocument/2006/relationships" name="Preference_Matrix" sheetId="4" r:id="R14bf8c6ec5754493"/>
    <x:sheet xmlns:r="http://schemas.openxmlformats.org/officeDocument/2006/relationships" name="Compatibility_Calc" sheetId="5" r:id="R40f7e020f3d4455e"/>
    <x:sheet xmlns:r="http://schemas.openxmlformats.org/officeDocument/2006/relationships" name="Relationship_State" sheetId="6" r:id="R025415fe353e4939"/>
    <x:sheet xmlns:r="http://schemas.openxmlformats.org/officeDocument/2006/relationships" name="Event_Table" sheetId="7" r:id="R525a6fd18d224053"/>
    <x:sheet xmlns:r="http://schemas.openxmlformats.org/officeDocument/2006/relationships" name="Event_Calc" sheetId="8" r:id="Rb46de04a8227494a"/>
    <x:sheet xmlns:r="http://schemas.openxmlformats.org/officeDocument/2006/relationships" name="Dashboard" sheetId="9" r:id="R6985406e2921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7F1D1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4C81"/>
      </x:patternFill>
    </x:fill>
    <x:fill>
      <x:patternFill patternType="solid">
        <x:fgColor rgb="FF4C1D95"/>
      </x:patternFill>
    </x:fill>
    <x:fill>
      <x:patternFill patternType="solid">
        <x:fgColor rgb="FF14532D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06df4b524469e" /><Relationship Type="http://schemas.openxmlformats.org/officeDocument/2006/relationships/theme" Target="/xl/theme/theme1.xml" Id="R42de944796354078" /><Relationship Type="http://schemas.openxmlformats.org/officeDocument/2006/relationships/sharedStrings" Target="/xl/sharedStrings.xml" Id="R296a6aa34af14eb8" /><Relationship Type="http://schemas.openxmlformats.org/officeDocument/2006/relationships/worksheet" Target="/xl/worksheets/sheet1.xml" Id="R9f355b12ab2d4874" /><Relationship Type="http://schemas.openxmlformats.org/officeDocument/2006/relationships/worksheet" Target="/xl/worksheets/sheet2.xml" Id="Rbb975e0cce47474b" /><Relationship Type="http://schemas.openxmlformats.org/officeDocument/2006/relationships/worksheet" Target="/xl/worksheets/sheet3.xml" Id="Rdf05aeecb6cb464a" /><Relationship Type="http://schemas.openxmlformats.org/officeDocument/2006/relationships/worksheet" Target="/xl/worksheets/sheet4.xml" Id="R14bf8c6ec5754493" /><Relationship Type="http://schemas.openxmlformats.org/officeDocument/2006/relationships/worksheet" Target="/xl/worksheets/sheet5.xml" Id="R40f7e020f3d4455e" /><Relationship Type="http://schemas.openxmlformats.org/officeDocument/2006/relationships/worksheet" Target="/xl/worksheets/sheet6.xml" Id="R025415fe353e4939" /><Relationship Type="http://schemas.openxmlformats.org/officeDocument/2006/relationships/worksheet" Target="/xl/worksheets/sheet7.xml" Id="R525a6fd18d224053" /><Relationship Type="http://schemas.openxmlformats.org/officeDocument/2006/relationships/worksheet" Target="/xl/worksheets/sheet8.xml" Id="Rb46de04a8227494a" /><Relationship Type="http://schemas.openxmlformats.org/officeDocument/2006/relationships/worksheet" Target="/xl/worksheets/sheet9.xml" Id="R6985406e292143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d30fbfd93240c0" /><Relationship Type="http://schemas.openxmlformats.org/officeDocument/2006/relationships/chart" Target="/xl/drawings/charts/chart2.xml" Id="R27b15a09cdc344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궁합 영역별 점수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'Dashboard'!$A$4:$A$10</c:f>
              <c:strCache>
                <c:ptCount val="0"/>
              </c:strCache>
            </c:strRef>
          </c:cat>
          <c:val>
            <c:numRef>
              <c:f>'Dashboard'!$B$4:$B$10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현재 관계 상태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'Dashboard'!$F$4:$F$10</c:f>
              <c:strCache>
                <c:ptCount val="0"/>
              </c:strCache>
            </c:strRef>
          </c:cat>
          <c:val>
            <c:numRef>
              <c:f>'Dashboard'!$G$4:$G$10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5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30fbfd93240c0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b15a09cdc344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3b1c46e917b47c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0" customHeight="1">
      <x:c r="A1" s="28" t="str">
        <x:v>CITY OF LUST — Compatibility &amp; Relationship Simulation Model</x:v>
      </x:c>
      <x:c r="B1" s="22"/>
      <x:c r="C1" s="22"/>
      <x:c r="D1" s="22"/>
      <x:c r="E1" s="22"/>
      <x:c r="F1" s="22"/>
      <x:c r="G1" s="22"/>
      <x:c r="H1" s="22"/>
    </x:row>
    <x:row r="2" ht="20" customHeight="1">
      <x:c r="A2" s="22"/>
      <x:c r="B2" s="22"/>
      <x:c r="C2" s="22"/>
      <x:c r="D2" s="22"/>
      <x:c r="E2" s="22"/>
      <x:c r="F2" s="22"/>
      <x:c r="G2" s="22"/>
      <x:c r="H2" s="22"/>
    </x:row>
    <x:row r="3" ht="20" customHeight="1">
      <x:c r="A3" s="14" t="str">
        <x:v>구분</x:v>
      </x:c>
      <x:c r="B3" s="14" t="str">
        <x:v>설명</x:v>
      </x:c>
      <x:c r="C3" s="22"/>
      <x:c r="D3" s="22"/>
      <x:c r="E3" s="22"/>
      <x:c r="F3" s="22"/>
      <x:c r="G3" s="22"/>
      <x:c r="H3" s="22"/>
    </x:row>
    <x:row r="4" ht="20" customHeight="1">
      <x:c r="A4" s="29" t="str">
        <x:v>핵심 정책 1</x:v>
      </x:c>
      <x:c r="B4" s="22" t="str">
        <x:v>캐릭터 특성은 영역별 Soft Budget에 수렴. 한 특성이 높으면 같은 영역의 다른 특성이 상대적으로 낮아지도록 설계.</x:v>
      </x:c>
      <x:c r="C4" s="22"/>
      <x:c r="D4" s="22"/>
      <x:c r="E4" s="22"/>
      <x:c r="F4" s="22"/>
      <x:c r="G4" s="22"/>
      <x:c r="H4" s="22"/>
    </x:row>
    <x:row r="5" ht="20" customHeight="1">
      <x:c r="A5" s="29" t="str">
        <x:v>핵심 정책 2</x:v>
      </x:c>
      <x:c r="B5" s="22" t="str">
        <x:v>남→여, 여→남의 선호/비선호 가중치를 따로 계산해 양방향 궁합을 산출.</x:v>
      </x:c>
      <x:c r="C5" s="22"/>
      <x:c r="D5" s="22"/>
      <x:c r="E5" s="22"/>
      <x:c r="F5" s="22"/>
      <x:c r="G5" s="22"/>
      <x:c r="H5" s="22"/>
    </x:row>
    <x:row r="6" ht="20" customHeight="1">
      <x:c r="A6" s="29" t="str">
        <x:v>Compatibility</x:v>
      </x:c>
      <x:c r="B6" s="22" t="str">
        <x:v>두 사람 관계의 '잠재력'. 높은 궁합이 자동으로 좋은 관계를 보장하지는 않음.</x:v>
      </x:c>
      <x:c r="C6" s="22"/>
      <x:c r="D6" s="22"/>
      <x:c r="E6" s="22"/>
      <x:c r="F6" s="22"/>
      <x:c r="G6" s="22"/>
      <x:c r="H6" s="22"/>
    </x:row>
    <x:row r="7" ht="20" customHeight="1">
      <x:c r="A7" s="29" t="str">
        <x:v>Relationship</x:v>
      </x:c>
      <x:c r="B7" s="22" t="str">
        <x:v>실제 대화·데이트·행동·이벤트로 형성되는 Attraction / Trust / Comfort / Affection / Intimacy.</x:v>
      </x:c>
      <x:c r="C7" s="22"/>
      <x:c r="D7" s="22"/>
      <x:c r="E7" s="22"/>
      <x:c r="F7" s="22"/>
      <x:c r="G7" s="22"/>
      <x:c r="H7" s="22"/>
    </x:row>
    <x:row r="8" ht="20" customHeight="1">
      <x:c r="A8" s="29" t="str">
        <x:v>Deal Breaker</x:v>
      </x:c>
      <x:c r="B8" s="22" t="str">
        <x:v>특정 조건이 충족되면 해당 방향의 궁합을 크게 제한하는 하드 페널티.</x:v>
      </x:c>
      <x:c r="C8" s="22"/>
      <x:c r="D8" s="22"/>
      <x:c r="E8" s="22"/>
      <x:c r="F8" s="22"/>
      <x:c r="G8" s="22"/>
      <x:c r="H8" s="22"/>
    </x:row>
    <x:row r="9" ht="20" customHeight="1">
      <x:c r="A9" s="29" t="str">
        <x:v>Mutable</x:v>
      </x:c>
      <x:c r="B9" s="22" t="str">
        <x:v>패션·재력·대화·행동처럼 플레이 중 변화 가능한 특성.</x:v>
      </x:c>
      <x:c r="C9" s="22"/>
      <x:c r="D9" s="22"/>
      <x:c r="E9" s="22"/>
      <x:c r="F9" s="22"/>
      <x:c r="G9" s="22"/>
      <x:c r="H9" s="22"/>
    </x:row>
    <x:row r="10" ht="20" customHeight="1">
      <x:c r="A10" s="29" t="str">
        <x:v>Immutable</x:v>
      </x:c>
      <x:c r="B10" s="22" t="str">
        <x:v>나이·키 등 기본적으로 쉽게 바뀌지 않는 특성.</x:v>
      </x:c>
      <x:c r="C10" s="22"/>
      <x:c r="D10" s="22"/>
      <x:c r="E10" s="22"/>
      <x:c r="F10" s="22"/>
      <x:c r="G10" s="22"/>
      <x:c r="H10" s="22"/>
    </x:row>
    <x:row r="11" ht="20" customHeight="1">
      <x:c r="A11" s="29" t="str">
        <x:v>입력셀</x:v>
      </x:c>
      <x:c r="B11" s="22" t="str">
        <x:v>노란색 셀만 수정하면 결과가 자동 갱신되도록 구성.</x:v>
      </x:c>
      <x:c r="C11" s="22"/>
      <x:c r="D11" s="22"/>
      <x:c r="E11" s="22"/>
      <x:c r="F11" s="22"/>
      <x:c r="G11" s="22"/>
      <x:c r="H11" s="22"/>
    </x:row>
    <x:row r="12" ht="20" customHeight="1">
      <x:c r="A12" s="29" t="str">
        <x:v>공식셀</x:v>
      </x:c>
      <x:c r="B12" s="22" t="str">
        <x:v>연두색 셀은 자동 계산식.</x:v>
      </x:c>
      <x:c r="C12" s="22"/>
      <x:c r="D12" s="22"/>
      <x:c r="E12" s="22"/>
      <x:c r="F12" s="22"/>
      <x:c r="G12" s="22"/>
      <x:c r="H12" s="22"/>
    </x:row>
    <x:row r="13" ht="20" customHeight="1">
      <x:c r="A13" s="22"/>
      <x:c r="B13" s="22"/>
      <x:c r="C13" s="22"/>
      <x:c r="D13" s="22"/>
      <x:c r="E13" s="22"/>
      <x:c r="F13" s="22"/>
      <x:c r="G13" s="22"/>
      <x:c r="H13" s="22"/>
    </x:row>
    <x:row r="14" ht="20" customHeight="1">
      <x:c r="A14" s="14" t="str">
        <x:v>사용 순서</x:v>
      </x:c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 ht="20" customHeight="1">
      <x:c r="A15" s="30" t="str">
        <x:v>1</x:v>
      </x:c>
      <x:c r="B15" s="22" t="str">
        <x:v>Female_Profile / Male_Profile에서 캐릭터 특성 입력</x:v>
      </x:c>
      <x:c r="C15" s="22" t="str"/>
      <x:c r="D15" s="22" t="str"/>
      <x:c r="E15" s="22" t="str"/>
      <x:c r="F15" s="22" t="str"/>
      <x:c r="G15" s="22" t="str"/>
      <x:c r="H15" s="22" t="str"/>
    </x:row>
    <x:row r="16" ht="20" customHeight="1">
      <x:c r="A16" s="30" t="str">
        <x:v>2</x:v>
      </x:c>
      <x:c r="B16" s="22" t="str">
        <x:v>Preference_Matrix에서 상대 특성에 대한 선호 가중치 입력</x:v>
      </x:c>
      <x:c r="C16" s="22" t="str"/>
      <x:c r="D16" s="22" t="str"/>
      <x:c r="E16" s="22" t="str"/>
      <x:c r="F16" s="22" t="str"/>
      <x:c r="G16" s="22" t="str"/>
      <x:c r="H16" s="22" t="str"/>
    </x:row>
    <x:row r="17" ht="20" customHeight="1">
      <x:c r="A17" s="30" t="str">
        <x:v>3</x:v>
      </x:c>
      <x:c r="B17" s="22" t="str">
        <x:v>Compatibility_Calc에서 양방향 궁합 확인</x:v>
      </x:c>
      <x:c r="C17" s="22" t="str"/>
      <x:c r="D17" s="22" t="str"/>
      <x:c r="E17" s="22" t="str"/>
      <x:c r="F17" s="22" t="str"/>
      <x:c r="G17" s="22" t="str"/>
      <x:c r="H17" s="22" t="str"/>
    </x:row>
    <x:row r="18" ht="20" customHeight="1">
      <x:c r="A18" s="30" t="str">
        <x:v>4</x:v>
      </x:c>
      <x:c r="B18" s="22" t="str">
        <x:v>Event_Table에서 이벤트 효과값 조정</x:v>
      </x:c>
      <x:c r="C18" s="22" t="str"/>
      <x:c r="D18" s="22" t="str"/>
      <x:c r="E18" s="22" t="str"/>
      <x:c r="F18" s="22" t="str"/>
      <x:c r="G18" s="22" t="str"/>
      <x:c r="H18" s="22" t="str"/>
    </x:row>
    <x:row r="19" ht="20" customHeight="1">
      <x:c r="A19" s="30" t="str">
        <x:v>5</x:v>
      </x:c>
      <x:c r="B19" s="22" t="str">
        <x:v>Event_Calc에서 발생 이벤트를 선택/입력</x:v>
      </x:c>
      <x:c r="C19" s="22" t="str"/>
      <x:c r="D19" s="22" t="str"/>
      <x:c r="E19" s="22" t="str"/>
      <x:c r="F19" s="22" t="str"/>
      <x:c r="G19" s="22" t="str"/>
      <x:c r="H19" s="22" t="str"/>
    </x:row>
    <x:row r="20" ht="20" customHeight="1">
      <x:c r="A20" s="30" t="str">
        <x:v>6</x:v>
      </x:c>
      <x:c r="B20" s="22" t="str">
        <x:v>Dashboard에서 현재 관계 상태와 최종 결과 확인</x:v>
      </x:c>
      <x:c r="C20" s="22" t="str"/>
      <x:c r="D20" s="22" t="str"/>
      <x:c r="E20" s="22" t="str"/>
      <x:c r="F20" s="22" t="str"/>
      <x:c r="G20" s="22" t="str"/>
      <x:c r="H20" s="2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8" t="str">
        <x:v>여성 캐릭터 프로필 — 샘플: 베이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기본 정보</x:v>
      </x:c>
      <x:c r="B3" s="14" t="str">
        <x:v>값</x:v>
      </x:c>
      <x:c r="C3" s="14" t="str">
        <x:v>설명</x:v>
      </x:c>
      <x:c r="D3" s="14" t="str"/>
      <x:c r="E3" s="14" t="str"/>
      <x:c r="F3" s="14" t="str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이름</x:v>
      </x:c>
      <x:c r="B4" s="82" t="str">
        <x:v>베이</x:v>
      </x:c>
      <x:c r="C4" s="89" t="str">
        <x:v>샘플 NPC</x:v>
      </x:c>
      <x:c r="D4" s="89" t="str"/>
      <x:c r="E4" s="89" t="str"/>
      <x:c r="F4" s="89" t="str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나이</x:v>
      </x:c>
      <x:c r="B5" s="82" t="n">
        <x:v>21</x:v>
      </x:c>
      <x:c r="C5" s="89" t="str">
        <x:v>세</x:v>
      </x:c>
      <x:c r="D5" s="89" t="str"/>
      <x:c r="E5" s="89" t="str"/>
      <x:c r="F5" s="89" t="str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직업</x:v>
      </x:c>
      <x:c r="B6" s="82" t="str">
        <x:v>대학생</x:v>
      </x:c>
      <x:c r="C6" s="89" t="str"/>
      <x:c r="D6" s="89" t="str"/>
      <x:c r="E6" s="89" t="str"/>
      <x:c r="F6" s="89" t="str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결혼상태</x:v>
      </x:c>
      <x:c r="B7" s="82" t="str">
        <x:v>미혼</x:v>
      </x:c>
      <x:c r="C7" s="89" t="str"/>
      <x:c r="D7" s="89" t="str"/>
      <x:c r="E7" s="89" t="str"/>
      <x:c r="F7" s="89" t="str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재력</x:v>
      </x:c>
      <x:c r="B8" s="82" t="n">
        <x:v>40</x:v>
      </x:c>
      <x:c r="C8" s="89" t="str">
        <x:v>0~100</x:v>
      </x:c>
      <x:c r="D8" s="89" t="str"/>
      <x:c r="E8" s="89" t="str"/>
      <x:c r="F8" s="89" t="str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14" t="str">
        <x:v>외모 Soft Budget</x:v>
      </x:c>
      <x:c r="B10" s="14" t="str">
        <x:v>값</x:v>
      </x:c>
      <x:c r="C10" s="14" t="str">
        <x:v>Mutable?</x:v>
      </x:c>
      <x:c r="D10" s="14" t="str">
        <x:v>Budget 기준</x:v>
      </x:c>
      <x:c r="E10" s="14" t="str">
        <x:v>편차</x:v>
      </x:c>
      <x:c r="F10" s="14" t="str">
        <x:v>메모</x:v>
      </x:c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얼굴</x:v>
      </x:c>
      <x:c r="B11" s="82" t="n">
        <x:v>45</x:v>
      </x:c>
      <x:c r="C11" s="89" t="str">
        <x:v>N</x:v>
      </x:c>
      <x:c r="D11" s="89" t="n">
        <x:v>100</x:v>
      </x:c>
      <x:c r="E11" s="89" t="str"/>
      <x:c r="F11" s="89" t="str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키</x:v>
      </x:c>
      <x:c r="B12" s="82" t="n">
        <x:v>10</x:v>
      </x:c>
      <x:c r="C12" s="89" t="str">
        <x:v>N</x:v>
      </x:c>
      <x:c r="D12" s="89" t="n">
        <x:v>100</x:v>
      </x:c>
      <x:c r="E12" s="89" t="str"/>
      <x:c r="F12" s="89" t="str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몸매</x:v>
      </x:c>
      <x:c r="B13" s="82" t="n">
        <x:v>25</x:v>
      </x:c>
      <x:c r="C13" s="89" t="str">
        <x:v>Y</x:v>
      </x:c>
      <x:c r="D13" s="89" t="n">
        <x:v>100</x:v>
      </x:c>
      <x:c r="E13" s="89" t="str"/>
      <x:c r="F13" s="89" t="str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패션</x:v>
      </x:c>
      <x:c r="B14" s="82" t="n">
        <x:v>20</x:v>
      </x:c>
      <x:c r="C14" s="89" t="str">
        <x:v>Y</x:v>
      </x:c>
      <x:c r="D14" s="89" t="n">
        <x:v>100</x:v>
      </x:c>
      <x:c r="E14" s="89" t="str"/>
      <x:c r="F14" s="89" t="str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외모 합계</x:v>
      </x:c>
      <x:c r="B15" s="83" t="n">
        <x:f>SUM(B11:B14)</x:f>
        <x:v>100</x:v>
      </x:c>
      <x:c r="C15" s="89" t="str"/>
      <x:c r="D15" s="89" t="str"/>
      <x:c r="E15" s="89" t="str"/>
      <x:c r="F15" s="89" t="str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Budget 차이</x:v>
      </x:c>
      <x:c r="B16" s="83" t="n">
        <x:f>B15-D11</x:f>
        <x:v>0</x:v>
      </x:c>
      <x:c r="C16" s="89" t="str"/>
      <x:c r="D16" s="89" t="str"/>
      <x:c r="E16" s="89" t="str"/>
      <x:c r="F16" s="89" t="str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Budget 상태</x:v>
      </x:c>
      <x:c r="B17" s="83" t="str">
        <x:f>IF(ABS(B16)&lt;=10,"OK","조정 필요")</x:f>
        <x:v>OK</x:v>
      </x:c>
      <x:c r="C17" s="89" t="str"/>
      <x:c r="D17" s="89" t="str"/>
      <x:c r="E17" s="89" t="str"/>
      <x:c r="F17" s="89" t="str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14" t="str">
        <x:v>성격 Soft Budget</x:v>
      </x:c>
      <x:c r="B19" s="14" t="str">
        <x:v>값</x:v>
      </x:c>
      <x:c r="C19" s="14" t="str">
        <x:v>Mutable?</x:v>
      </x:c>
      <x:c r="D19" s="14" t="str">
        <x:v>Budget 기준</x:v>
      </x:c>
      <x:c r="E19" s="14" t="str">
        <x:v>편차</x:v>
      </x:c>
      <x:c r="F19" s="14" t="str">
        <x:v>메모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str">
        <x:v>외향성</x:v>
      </x:c>
      <x:c r="B20" s="82" t="n">
        <x:v>30</x:v>
      </x:c>
      <x:c r="C20" s="89" t="str">
        <x:v>Y</x:v>
      </x:c>
      <x:c r="D20" s="89" t="n">
        <x:v>100</x:v>
      </x:c>
      <x:c r="E20" s="89" t="str"/>
      <x:c r="F20" s="89" t="str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str">
        <x:v>유머</x:v>
      </x:c>
      <x:c r="B21" s="82" t="n">
        <x:v>20</x:v>
      </x:c>
      <x:c r="C21" s="89" t="str">
        <x:v>Y</x:v>
      </x:c>
      <x:c r="D21" s="89" t="n">
        <x:v>100</x:v>
      </x:c>
      <x:c r="E21" s="89" t="str"/>
      <x:c r="F21" s="89" t="str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다정함</x:v>
      </x:c>
      <x:c r="B22" s="82" t="n">
        <x:v>20</x:v>
      </x:c>
      <x:c r="C22" s="89" t="str">
        <x:v>Y</x:v>
      </x:c>
      <x:c r="D22" s="89" t="n">
        <x:v>100</x:v>
      </x:c>
      <x:c r="E22" s="89" t="str"/>
      <x:c r="F22" s="89" t="str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str">
        <x:v>자신감</x:v>
      </x:c>
      <x:c r="B23" s="82" t="n">
        <x:v>15</x:v>
      </x:c>
      <x:c r="C23" s="89" t="str">
        <x:v>Y</x:v>
      </x:c>
      <x:c r="D23" s="89" t="n">
        <x:v>100</x:v>
      </x:c>
      <x:c r="E23" s="89" t="str"/>
      <x:c r="F23" s="89" t="str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 t="str">
        <x:v>매너</x:v>
      </x:c>
      <x:c r="B24" s="82" t="n">
        <x:v>15</x:v>
      </x:c>
      <x:c r="C24" s="89" t="str">
        <x:v>Y</x:v>
      </x:c>
      <x:c r="D24" s="89" t="n">
        <x:v>100</x:v>
      </x:c>
      <x:c r="E24" s="89" t="str"/>
      <x:c r="F24" s="89" t="str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str">
        <x:v>성격 합계</x:v>
      </x:c>
      <x:c r="B25" s="83" t="n">
        <x:f>SUM(B20:B24)</x:f>
        <x:v>100</x:v>
      </x:c>
      <x:c r="C25" s="89" t="str"/>
      <x:c r="D25" s="89" t="str"/>
      <x:c r="E25" s="89" t="str"/>
      <x:c r="F25" s="89" t="str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 t="str">
        <x:v>Budget 차이</x:v>
      </x:c>
      <x:c r="B26" s="83" t="n">
        <x:f>B25-D20</x:f>
        <x:v>0</x:v>
      </x:c>
      <x:c r="C26" s="89" t="str"/>
      <x:c r="D26" s="89" t="str"/>
      <x:c r="E26" s="89" t="str"/>
      <x:c r="F26" s="89" t="str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 t="str">
        <x:v>Budget 상태</x:v>
      </x:c>
      <x:c r="B27" s="83" t="str">
        <x:f>IF(ABS(B26)&lt;=10,"OK","조정 필요")</x:f>
        <x:v>OK</x:v>
      </x:c>
      <x:c r="C27" s="89" t="str"/>
      <x:c r="D27" s="89" t="str"/>
      <x:c r="E27" s="89" t="str"/>
      <x:c r="F27" s="89" t="str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 t="str"/>
      <x:c r="B28" s="89" t="str"/>
      <x:c r="C28" s="89" t="str"/>
      <x:c r="D28" s="89" t="str"/>
      <x:c r="E28" s="89" t="str"/>
      <x:c r="F28" s="89" t="str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14" t="str">
        <x:v>라이프스타일 / 가치관</x:v>
      </x:c>
      <x:c r="B30" s="14" t="str">
        <x:v>값</x:v>
      </x:c>
      <x:c r="C30" s="14" t="str">
        <x:v>Mutable?</x:v>
      </x:c>
      <x:c r="D30" s="14" t="str">
        <x:v>설명</x:v>
      </x:c>
      <x:c r="E30" s="14" t="str"/>
      <x:c r="F30" s="14" t="str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 t="str">
        <x:v>지성</x:v>
      </x:c>
      <x:c r="B31" s="82" t="n">
        <x:v>55</x:v>
      </x:c>
      <x:c r="C31" s="89" t="str">
        <x:v>Y</x:v>
      </x:c>
      <x:c r="D31" s="89" t="str"/>
      <x:c r="E31" s="89" t="str"/>
      <x:c r="F31" s="89" t="str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 t="str">
        <x:v>커리어지향</x:v>
      </x:c>
      <x:c r="B32" s="82" t="n">
        <x:v>45</x:v>
      </x:c>
      <x:c r="C32" s="89" t="str">
        <x:v>Y</x:v>
      </x:c>
      <x:c r="D32" s="89" t="str"/>
      <x:c r="E32" s="89" t="str"/>
      <x:c r="F32" s="89" t="str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 t="str">
        <x:v>소비성향</x:v>
      </x:c>
      <x:c r="B33" s="82" t="n">
        <x:v>55</x:v>
      </x:c>
      <x:c r="C33" s="89" t="str">
        <x:v>Y</x:v>
      </x:c>
      <x:c r="D33" s="89" t="str"/>
      <x:c r="E33" s="89" t="str"/>
      <x:c r="F33" s="89" t="str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 t="str">
        <x:v>사회활동</x:v>
      </x:c>
      <x:c r="B34" s="82" t="n">
        <x:v>70</x:v>
      </x:c>
      <x:c r="C34" s="89" t="str">
        <x:v>Y</x:v>
      </x:c>
      <x:c r="D34" s="89" t="str"/>
      <x:c r="E34" s="89" t="str"/>
      <x:c r="F34" s="89" t="str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 t="str">
        <x:v>운동</x:v>
      </x:c>
      <x:c r="B35" s="82" t="n">
        <x:v>35</x:v>
      </x:c>
      <x:c r="C35" s="89" t="str">
        <x:v>Y</x:v>
      </x:c>
      <x:c r="D35" s="89" t="str"/>
      <x:c r="E35" s="89" t="str"/>
      <x:c r="F35" s="89" t="str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 t="str">
        <x:v>가족지향</x:v>
      </x:c>
      <x:c r="B36" s="82" t="n">
        <x:v>40</x:v>
      </x:c>
      <x:c r="C36" s="89" t="str">
        <x:v>Y</x:v>
      </x:c>
      <x:c r="D36" s="89" t="str"/>
      <x:c r="E36" s="89" t="str"/>
      <x:c r="F36" s="89" t="str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 t="str">
        <x:v>독립성</x:v>
      </x:c>
      <x:c r="B37" s="82" t="n">
        <x:v>50</x:v>
      </x:c>
      <x:c r="C37" s="89" t="str">
        <x:v>Y</x:v>
      </x:c>
      <x:c r="D37" s="89" t="str"/>
      <x:c r="E37" s="89" t="str"/>
      <x:c r="F37" s="89" t="str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 t="str">
        <x:v>모험성</x:v>
      </x:c>
      <x:c r="B38" s="82" t="n">
        <x:v>65</x:v>
      </x:c>
      <x:c r="C38" s="89" t="str">
        <x:v>Y</x:v>
      </x:c>
      <x:c r="D38" s="89" t="str"/>
      <x:c r="E38" s="89" t="str"/>
      <x:c r="F38" s="89" t="str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14" t="str">
        <x:v>관계 스타일</x:v>
      </x:c>
      <x:c r="B40" s="14" t="str">
        <x:v>값</x:v>
      </x:c>
      <x:c r="C40" s="14" t="str">
        <x:v>설명</x:v>
      </x:c>
      <x:c r="D40" s="14" t="str"/>
      <x:c r="E40" s="14" t="str"/>
      <x:c r="F40" s="14" t="str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 t="str">
        <x:v>연락 빈도</x:v>
      </x:c>
      <x:c r="B41" s="82" t="n">
        <x:v>80</x:v>
      </x:c>
      <x:c r="C41" s="89" t="str">
        <x:v>높을수록 자주 연락</x:v>
      </x:c>
      <x:c r="D41" s="89" t="str"/>
      <x:c r="E41" s="89" t="str"/>
      <x:c r="F41" s="89" t="str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 t="str">
        <x:v>질투성</x:v>
      </x:c>
      <x:c r="B42" s="82" t="n">
        <x:v>60</x:v>
      </x:c>
      <x:c r="C42" s="89" t="str">
        <x:v>높을수록 질투 이벤트 민감</x:v>
      </x:c>
      <x:c r="D42" s="89" t="str"/>
      <x:c r="E42" s="89" t="str"/>
      <x:c r="F42" s="89" t="str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 t="str">
        <x:v>애정표현</x:v>
      </x:c>
      <x:c r="B43" s="82" t="n">
        <x:v>70</x:v>
      </x:c>
      <x:c r="C43" s="89" t="str">
        <x:v>높을수록 직접적 표현</x:v>
      </x:c>
      <x:c r="D43" s="89" t="str"/>
      <x:c r="E43" s="89" t="str"/>
      <x:c r="F43" s="89" t="str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 t="str">
        <x:v>독립성</x:v>
      </x:c>
      <x:c r="B44" s="82" t="n">
        <x:v>50</x:v>
      </x:c>
      <x:c r="C44" s="89" t="str">
        <x:v>높을수록 개인시간 중시</x:v>
      </x:c>
      <x:c r="D44" s="89" t="str"/>
      <x:c r="E44" s="89" t="str"/>
      <x:c r="F44" s="89" t="str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 t="str">
        <x:v>Commitment</x:v>
      </x:c>
      <x:c r="B45" s="82" t="n">
        <x:v>65</x:v>
      </x:c>
      <x:c r="C45" s="89" t="str">
        <x:v>장기관계 의지</x:v>
      </x:c>
      <x:c r="D45" s="89" t="str"/>
      <x:c r="E45" s="89" t="str"/>
      <x:c r="F45" s="89" t="str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 t="str">
        <x:v>갈등회피</x:v>
      </x:c>
      <x:c r="B46" s="82" t="n">
        <x:v>40</x:v>
      </x:c>
      <x:c r="C46" s="89" t="str">
        <x:v>높을수록 회피</x:v>
      </x:c>
      <x:c r="D46" s="89" t="str"/>
      <x:c r="E46" s="89" t="str"/>
      <x:c r="F46" s="89" t="str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 t="str">
        <x:v>화해속도</x:v>
      </x:c>
      <x:c r="B47" s="82" t="n">
        <x:v>75</x:v>
      </x:c>
      <x:c r="C47" s="89" t="str">
        <x:v>높을수록 회복 빠름</x:v>
      </x:c>
      <x:c r="D47" s="89" t="str"/>
      <x:c r="E47" s="89" t="str"/>
      <x:c r="F47" s="89" t="str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14" t="str">
        <x:v>친밀감 프로필</x:v>
      </x:c>
      <x:c r="B49" s="14" t="str">
        <x:v>값</x:v>
      </x:c>
      <x:c r="C49" s="14" t="str">
        <x:v>설명</x:v>
      </x:c>
      <x:c r="D49" s="14" t="str"/>
      <x:c r="E49" s="14" t="str"/>
      <x:c r="F49" s="14" t="str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 t="str">
        <x:v>친밀감 선호</x:v>
      </x:c>
      <x:c r="B50" s="82" t="n">
        <x:v>70</x:v>
      </x:c>
      <x:c r="C50" s="89" t="str">
        <x:v>0~100</x:v>
      </x:c>
      <x:c r="D50" s="89" t="str"/>
      <x:c r="E50" s="89" t="str"/>
      <x:c r="F50" s="89" t="str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 t="str">
        <x:v>관계 속도</x:v>
      </x:c>
      <x:c r="B51" s="82" t="n">
        <x:v>55</x:v>
      </x:c>
      <x:c r="C51" s="89" t="str">
        <x:v>낮음=slow / 높음=fast</x:v>
      </x:c>
      <x:c r="D51" s="89" t="str"/>
      <x:c r="E51" s="89" t="str"/>
      <x:c r="F51" s="89" t="str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 t="str">
        <x:v>경계 민감도</x:v>
      </x:c>
      <x:c r="B52" s="82" t="n">
        <x:v>65</x:v>
      </x:c>
      <x:c r="C52" s="89" t="str">
        <x:v>높을수록 경계 중요</x:v>
      </x:c>
      <x:c r="D52" s="89" t="str"/>
      <x:c r="E52" s="89" t="str"/>
      <x:c r="F52" s="89" t="str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 t="str">
        <x:v>반응성</x:v>
      </x:c>
      <x:c r="B53" s="82" t="n">
        <x:v>60</x:v>
      </x:c>
      <x:c r="C53" s="89" t="str">
        <x:v>상대 적합행동에 대한 반응성</x:v>
      </x:c>
      <x:c r="D53" s="89" t="str"/>
      <x:c r="E53" s="89" t="str"/>
      <x:c r="F53" s="89" t="str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 t="str">
        <x:v>Trust 요구치</x:v>
      </x:c>
      <x:c r="B54" s="82" t="n">
        <x:v>55</x:v>
      </x:c>
      <x:c r="C54" s="89" t="str">
        <x:v>다음 단계에 필요한 신뢰</x:v>
      </x:c>
      <x:c r="D54" s="89" t="str"/>
      <x:c r="E54" s="89" t="str"/>
      <x:c r="F54" s="89" t="str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 t="str">
        <x:v>Comfort 요구치</x:v>
      </x:c>
      <x:c r="B55" s="82" t="n">
        <x:v>60</x:v>
      </x:c>
      <x:c r="C55" s="89" t="str">
        <x:v>다음 단계에 필요한 편안함</x:v>
      </x:c>
      <x:c r="D55" s="89" t="str"/>
      <x:c r="E55" s="89" t="str"/>
      <x:c r="F55" s="89" t="str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 t="str">
        <x:v>Intimacy 요구치</x:v>
      </x:c>
      <x:c r="B56" s="82" t="n">
        <x:v>65</x:v>
      </x:c>
      <x:c r="C56" s="89" t="str">
        <x:v>다음 단계에 필요한 친밀감</x:v>
      </x:c>
      <x:c r="D56" s="89" t="str"/>
      <x:c r="E56" s="89" t="str"/>
      <x:c r="F56" s="89" t="str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F1"/>
  </x:mergeCells>
  <x:conditionalFormatting sqref="B17:B17">
    <x:cfRule type="expression" dxfId="0" priority="1">
      <x:formula>B17="조정 필요"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4" t="str">
        <x:v>남성 캐릭터 프로필 — 샘플 캐릭터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기본 정보</x:v>
      </x:c>
      <x:c r="B3" s="14" t="str">
        <x:v>값</x:v>
      </x:c>
      <x:c r="C3" s="14" t="str">
        <x:v>설명</x:v>
      </x:c>
      <x:c r="D3" s="14" t="str"/>
      <x:c r="E3" s="14" t="str"/>
      <x:c r="F3" s="14" t="str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이름</x:v>
      </x:c>
      <x:c r="B4" s="82" t="str">
        <x:v>지훈</x:v>
      </x:c>
      <x:c r="C4" s="89" t="str">
        <x:v>샘플 플레이어</x:v>
      </x:c>
      <x:c r="D4" s="89" t="str"/>
      <x:c r="E4" s="89" t="str"/>
      <x:c r="F4" s="89" t="str"/>
      <x:c r="G4" s="89"/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나이</x:v>
      </x:c>
      <x:c r="B5" s="82" t="n">
        <x:v>32</x:v>
      </x:c>
      <x:c r="C5" s="89" t="str">
        <x:v>세</x:v>
      </x:c>
      <x:c r="D5" s="89" t="str"/>
      <x:c r="E5" s="89" t="str"/>
      <x:c r="F5" s="89" t="str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직업</x:v>
      </x:c>
      <x:c r="B6" s="82" t="str">
        <x:v>무역회사 직원</x:v>
      </x:c>
      <x:c r="C6" s="89" t="str"/>
      <x:c r="D6" s="89" t="str"/>
      <x:c r="E6" s="89" t="str"/>
      <x:c r="F6" s="89" t="str"/>
      <x:c r="G6" s="89"/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결혼상태</x:v>
      </x:c>
      <x:c r="B7" s="82" t="str">
        <x:v>미혼</x:v>
      </x:c>
      <x:c r="C7" s="89" t="str"/>
      <x:c r="D7" s="89" t="str"/>
      <x:c r="E7" s="89" t="str"/>
      <x:c r="F7" s="89" t="str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재력</x:v>
      </x:c>
      <x:c r="B8" s="82" t="n">
        <x:v>55</x:v>
      </x:c>
      <x:c r="C8" s="89" t="str">
        <x:v>0~100</x:v>
      </x:c>
      <x:c r="D8" s="89" t="str"/>
      <x:c r="E8" s="89" t="str"/>
      <x:c r="F8" s="89" t="str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14" t="str">
        <x:v>외모 Soft Budget</x:v>
      </x:c>
      <x:c r="B10" s="14" t="str">
        <x:v>값</x:v>
      </x:c>
      <x:c r="C10" s="14" t="str">
        <x:v>Mutable?</x:v>
      </x:c>
      <x:c r="D10" s="14" t="str">
        <x:v>Budget 기준</x:v>
      </x:c>
      <x:c r="E10" s="14" t="str">
        <x:v>편차</x:v>
      </x:c>
      <x:c r="F10" s="14" t="str">
        <x:v>메모</x:v>
      </x:c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얼굴</x:v>
      </x:c>
      <x:c r="B11" s="82" t="n">
        <x:v>30</x:v>
      </x:c>
      <x:c r="C11" s="89" t="str">
        <x:v>N</x:v>
      </x:c>
      <x:c r="D11" s="89" t="n">
        <x:v>100</x:v>
      </x:c>
      <x:c r="E11" s="89" t="str"/>
      <x:c r="F11" s="89" t="str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키</x:v>
      </x:c>
      <x:c r="B12" s="82" t="n">
        <x:v>25</x:v>
      </x:c>
      <x:c r="C12" s="89" t="str">
        <x:v>N</x:v>
      </x:c>
      <x:c r="D12" s="89" t="n">
        <x:v>100</x:v>
      </x:c>
      <x:c r="E12" s="89" t="str"/>
      <x:c r="F12" s="89" t="str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몸매</x:v>
      </x:c>
      <x:c r="B13" s="82" t="n">
        <x:v>25</x:v>
      </x:c>
      <x:c r="C13" s="89" t="str">
        <x:v>Y</x:v>
      </x:c>
      <x:c r="D13" s="89" t="n">
        <x:v>100</x:v>
      </x:c>
      <x:c r="E13" s="89" t="str"/>
      <x:c r="F13" s="89" t="str"/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패션</x:v>
      </x:c>
      <x:c r="B14" s="82" t="n">
        <x:v>20</x:v>
      </x:c>
      <x:c r="C14" s="89" t="str">
        <x:v>Y</x:v>
      </x:c>
      <x:c r="D14" s="89" t="n">
        <x:v>100</x:v>
      </x:c>
      <x:c r="E14" s="89" t="str"/>
      <x:c r="F14" s="89" t="str"/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외모 합계</x:v>
      </x:c>
      <x:c r="B15" s="83" t="n">
        <x:f>SUM(B11:B14)</x:f>
        <x:v>100</x:v>
      </x:c>
      <x:c r="C15" s="89" t="str"/>
      <x:c r="D15" s="89" t="str"/>
      <x:c r="E15" s="89" t="str"/>
      <x:c r="F15" s="89" t="str"/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Budget 차이</x:v>
      </x:c>
      <x:c r="B16" s="83" t="n">
        <x:f>B15-D11</x:f>
        <x:v>0</x:v>
      </x:c>
      <x:c r="C16" s="89" t="str"/>
      <x:c r="D16" s="89" t="str"/>
      <x:c r="E16" s="89" t="str"/>
      <x:c r="F16" s="89" t="str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Budget 상태</x:v>
      </x:c>
      <x:c r="B17" s="83" t="str">
        <x:f>IF(ABS(B16)&lt;=10,"OK","조정 필요")</x:f>
        <x:v>OK</x:v>
      </x:c>
      <x:c r="C17" s="89" t="str"/>
      <x:c r="D17" s="89" t="str"/>
      <x:c r="E17" s="89" t="str"/>
      <x:c r="F17" s="89" t="str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14" t="str">
        <x:v>성격 Soft Budget</x:v>
      </x:c>
      <x:c r="B19" s="14" t="str">
        <x:v>값</x:v>
      </x:c>
      <x:c r="C19" s="14" t="str">
        <x:v>Mutable?</x:v>
      </x:c>
      <x:c r="D19" s="14" t="str">
        <x:v>Budget 기준</x:v>
      </x:c>
      <x:c r="E19" s="14" t="str">
        <x:v>편차</x:v>
      </x:c>
      <x:c r="F19" s="14" t="str">
        <x:v>메모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str">
        <x:v>외향성</x:v>
      </x:c>
      <x:c r="B20" s="82" t="n">
        <x:v>20</x:v>
      </x:c>
      <x:c r="C20" s="89" t="str">
        <x:v>Y</x:v>
      </x:c>
      <x:c r="D20" s="89" t="n">
        <x:v>100</x:v>
      </x:c>
      <x:c r="E20" s="89" t="str"/>
      <x:c r="F20" s="89" t="str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str">
        <x:v>유머</x:v>
      </x:c>
      <x:c r="B21" s="82" t="n">
        <x:v>25</x:v>
      </x:c>
      <x:c r="C21" s="89" t="str">
        <x:v>Y</x:v>
      </x:c>
      <x:c r="D21" s="89" t="n">
        <x:v>100</x:v>
      </x:c>
      <x:c r="E21" s="89" t="str"/>
      <x:c r="F21" s="89" t="str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다정함</x:v>
      </x:c>
      <x:c r="B22" s="82" t="n">
        <x:v>20</x:v>
      </x:c>
      <x:c r="C22" s="89" t="str">
        <x:v>Y</x:v>
      </x:c>
      <x:c r="D22" s="89" t="n">
        <x:v>100</x:v>
      </x:c>
      <x:c r="E22" s="89" t="str"/>
      <x:c r="F22" s="89" t="str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str">
        <x:v>자신감</x:v>
      </x:c>
      <x:c r="B23" s="82" t="n">
        <x:v>20</x:v>
      </x:c>
      <x:c r="C23" s="89" t="str">
        <x:v>Y</x:v>
      </x:c>
      <x:c r="D23" s="89" t="n">
        <x:v>100</x:v>
      </x:c>
      <x:c r="E23" s="89" t="str"/>
      <x:c r="F23" s="89" t="str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 t="str">
        <x:v>매너</x:v>
      </x:c>
      <x:c r="B24" s="82" t="n">
        <x:v>15</x:v>
      </x:c>
      <x:c r="C24" s="89" t="str">
        <x:v>Y</x:v>
      </x:c>
      <x:c r="D24" s="89" t="n">
        <x:v>100</x:v>
      </x:c>
      <x:c r="E24" s="89" t="str"/>
      <x:c r="F24" s="89" t="str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str">
        <x:v>성격 합계</x:v>
      </x:c>
      <x:c r="B25" s="83" t="n">
        <x:f>SUM(B20:B24)</x:f>
        <x:v>100</x:v>
      </x:c>
      <x:c r="C25" s="89" t="str"/>
      <x:c r="D25" s="89" t="str"/>
      <x:c r="E25" s="89" t="str"/>
      <x:c r="F25" s="89" t="str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 t="str">
        <x:v>Budget 차이</x:v>
      </x:c>
      <x:c r="B26" s="83" t="n">
        <x:f>B25-D20</x:f>
        <x:v>0</x:v>
      </x:c>
      <x:c r="C26" s="89" t="str"/>
      <x:c r="D26" s="89" t="str"/>
      <x:c r="E26" s="89" t="str"/>
      <x:c r="F26" s="89" t="str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 t="str">
        <x:v>Budget 상태</x:v>
      </x:c>
      <x:c r="B27" s="83" t="str">
        <x:f>IF(ABS(B26)&lt;=10,"OK","조정 필요")</x:f>
        <x:v>OK</x:v>
      </x:c>
      <x:c r="C27" s="89" t="str"/>
      <x:c r="D27" s="89" t="str"/>
      <x:c r="E27" s="89" t="str"/>
      <x:c r="F27" s="89" t="str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 t="str"/>
      <x:c r="B28" s="89" t="str"/>
      <x:c r="C28" s="89" t="str"/>
      <x:c r="D28" s="89" t="str"/>
      <x:c r="E28" s="89" t="str"/>
      <x:c r="F28" s="89" t="str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14" t="str">
        <x:v>라이프스타일 / 가치관</x:v>
      </x:c>
      <x:c r="B30" s="14" t="str">
        <x:v>값</x:v>
      </x:c>
      <x:c r="C30" s="14" t="str">
        <x:v>Mutable?</x:v>
      </x:c>
      <x:c r="D30" s="14" t="str">
        <x:v>설명</x:v>
      </x:c>
      <x:c r="E30" s="14" t="str"/>
      <x:c r="F30" s="14" t="str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 t="str">
        <x:v>지성</x:v>
      </x:c>
      <x:c r="B31" s="82" t="n">
        <x:v>65</x:v>
      </x:c>
      <x:c r="C31" s="89" t="str">
        <x:v>Y</x:v>
      </x:c>
      <x:c r="D31" s="89" t="str"/>
      <x:c r="E31" s="89" t="str"/>
      <x:c r="F31" s="89" t="str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 t="str">
        <x:v>커리어지향</x:v>
      </x:c>
      <x:c r="B32" s="82" t="n">
        <x:v>70</x:v>
      </x:c>
      <x:c r="C32" s="89" t="str">
        <x:v>Y</x:v>
      </x:c>
      <x:c r="D32" s="89" t="str"/>
      <x:c r="E32" s="89" t="str"/>
      <x:c r="F32" s="89" t="str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 t="str">
        <x:v>소비성향</x:v>
      </x:c>
      <x:c r="B33" s="82" t="n">
        <x:v>45</x:v>
      </x:c>
      <x:c r="C33" s="89" t="str">
        <x:v>Y</x:v>
      </x:c>
      <x:c r="D33" s="89" t="str"/>
      <x:c r="E33" s="89" t="str"/>
      <x:c r="F33" s="89" t="str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 t="str">
        <x:v>사회활동</x:v>
      </x:c>
      <x:c r="B34" s="82" t="n">
        <x:v>50</x:v>
      </x:c>
      <x:c r="C34" s="89" t="str">
        <x:v>Y</x:v>
      </x:c>
      <x:c r="D34" s="89" t="str"/>
      <x:c r="E34" s="89" t="str"/>
      <x:c r="F34" s="89" t="str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 t="str">
        <x:v>운동</x:v>
      </x:c>
      <x:c r="B35" s="82" t="n">
        <x:v>60</x:v>
      </x:c>
      <x:c r="C35" s="89" t="str">
        <x:v>Y</x:v>
      </x:c>
      <x:c r="D35" s="89" t="str"/>
      <x:c r="E35" s="89" t="str"/>
      <x:c r="F35" s="89" t="str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 t="str">
        <x:v>가족지향</x:v>
      </x:c>
      <x:c r="B36" s="82" t="n">
        <x:v>55</x:v>
      </x:c>
      <x:c r="C36" s="89" t="str">
        <x:v>Y</x:v>
      </x:c>
      <x:c r="D36" s="89" t="str"/>
      <x:c r="E36" s="89" t="str"/>
      <x:c r="F36" s="89" t="str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 t="str">
        <x:v>독립성</x:v>
      </x:c>
      <x:c r="B37" s="82" t="n">
        <x:v>65</x:v>
      </x:c>
      <x:c r="C37" s="89" t="str">
        <x:v>Y</x:v>
      </x:c>
      <x:c r="D37" s="89" t="str"/>
      <x:c r="E37" s="89" t="str"/>
      <x:c r="F37" s="89" t="str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 t="str">
        <x:v>모험성</x:v>
      </x:c>
      <x:c r="B38" s="82" t="n">
        <x:v>55</x:v>
      </x:c>
      <x:c r="C38" s="89" t="str">
        <x:v>Y</x:v>
      </x:c>
      <x:c r="D38" s="89" t="str"/>
      <x:c r="E38" s="89" t="str"/>
      <x:c r="F38" s="89" t="str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14" t="str">
        <x:v>관계 스타일</x:v>
      </x:c>
      <x:c r="B40" s="14" t="str">
        <x:v>값</x:v>
      </x:c>
      <x:c r="C40" s="14" t="str">
        <x:v>설명</x:v>
      </x:c>
      <x:c r="D40" s="14" t="str"/>
      <x:c r="E40" s="14" t="str"/>
      <x:c r="F40" s="14" t="str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 t="str">
        <x:v>연락 빈도</x:v>
      </x:c>
      <x:c r="B41" s="82" t="n">
        <x:v>55</x:v>
      </x:c>
      <x:c r="C41" s="89" t="str"/>
      <x:c r="D41" s="89" t="str"/>
      <x:c r="E41" s="89" t="str"/>
      <x:c r="F41" s="89" t="str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 t="str">
        <x:v>질투성</x:v>
      </x:c>
      <x:c r="B42" s="82" t="n">
        <x:v>35</x:v>
      </x:c>
      <x:c r="C42" s="89" t="str"/>
      <x:c r="D42" s="89" t="str"/>
      <x:c r="E42" s="89" t="str"/>
      <x:c r="F42" s="89" t="str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 t="str">
        <x:v>애정표현</x:v>
      </x:c>
      <x:c r="B43" s="82" t="n">
        <x:v>60</x:v>
      </x:c>
      <x:c r="C43" s="89" t="str"/>
      <x:c r="D43" s="89" t="str"/>
      <x:c r="E43" s="89" t="str"/>
      <x:c r="F43" s="89" t="str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 t="str">
        <x:v>독립성</x:v>
      </x:c>
      <x:c r="B44" s="82" t="n">
        <x:v>65</x:v>
      </x:c>
      <x:c r="C44" s="89" t="str"/>
      <x:c r="D44" s="89" t="str"/>
      <x:c r="E44" s="89" t="str"/>
      <x:c r="F44" s="89" t="str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 t="str">
        <x:v>Commitment</x:v>
      </x:c>
      <x:c r="B45" s="82" t="n">
        <x:v>70</x:v>
      </x:c>
      <x:c r="C45" s="89" t="str"/>
      <x:c r="D45" s="89" t="str"/>
      <x:c r="E45" s="89" t="str"/>
      <x:c r="F45" s="89" t="str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 t="str">
        <x:v>갈등회피</x:v>
      </x:c>
      <x:c r="B46" s="82" t="n">
        <x:v>30</x:v>
      </x:c>
      <x:c r="C46" s="89" t="str"/>
      <x:c r="D46" s="89" t="str"/>
      <x:c r="E46" s="89" t="str"/>
      <x:c r="F46" s="89" t="str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 t="str">
        <x:v>화해속도</x:v>
      </x:c>
      <x:c r="B47" s="82" t="n">
        <x:v>65</x:v>
      </x:c>
      <x:c r="C47" s="89" t="str"/>
      <x:c r="D47" s="89" t="str"/>
      <x:c r="E47" s="89" t="str"/>
      <x:c r="F47" s="89" t="str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14" t="str">
        <x:v>친밀감 프로필</x:v>
      </x:c>
      <x:c r="B49" s="14" t="str">
        <x:v>값</x:v>
      </x:c>
      <x:c r="C49" s="14" t="str">
        <x:v>설명</x:v>
      </x:c>
      <x:c r="D49" s="14" t="str"/>
      <x:c r="E49" s="14" t="str"/>
      <x:c r="F49" s="14" t="str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 t="str">
        <x:v>친밀감 선호</x:v>
      </x:c>
      <x:c r="B50" s="82" t="n">
        <x:v>65</x:v>
      </x:c>
      <x:c r="C50" s="89" t="str"/>
      <x:c r="D50" s="89" t="str"/>
      <x:c r="E50" s="89" t="str"/>
      <x:c r="F50" s="89" t="str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 t="str">
        <x:v>관계 속도</x:v>
      </x:c>
      <x:c r="B51" s="82" t="n">
        <x:v>60</x:v>
      </x:c>
      <x:c r="C51" s="89" t="str"/>
      <x:c r="D51" s="89" t="str"/>
      <x:c r="E51" s="89" t="str"/>
      <x:c r="F51" s="89" t="str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 t="str">
        <x:v>경계 민감도</x:v>
      </x:c>
      <x:c r="B52" s="82" t="n">
        <x:v>55</x:v>
      </x:c>
      <x:c r="C52" s="89" t="str"/>
      <x:c r="D52" s="89" t="str"/>
      <x:c r="E52" s="89" t="str"/>
      <x:c r="F52" s="89" t="str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 t="str">
        <x:v>반응성</x:v>
      </x:c>
      <x:c r="B53" s="82" t="n">
        <x:v>65</x:v>
      </x:c>
      <x:c r="C53" s="89" t="str"/>
      <x:c r="D53" s="89" t="str"/>
      <x:c r="E53" s="89" t="str"/>
      <x:c r="F53" s="89" t="str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 t="str">
        <x:v>Trust 요구치</x:v>
      </x:c>
      <x:c r="B54" s="82" t="n">
        <x:v>50</x:v>
      </x:c>
      <x:c r="C54" s="89" t="str"/>
      <x:c r="D54" s="89" t="str"/>
      <x:c r="E54" s="89" t="str"/>
      <x:c r="F54" s="89" t="str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 t="str">
        <x:v>Comfort 요구치</x:v>
      </x:c>
      <x:c r="B55" s="82" t="n">
        <x:v>55</x:v>
      </x:c>
      <x:c r="C55" s="89" t="str"/>
      <x:c r="D55" s="89" t="str"/>
      <x:c r="E55" s="89" t="str"/>
      <x:c r="F55" s="89" t="str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 t="str">
        <x:v>Intimacy 요구치</x:v>
      </x:c>
      <x:c r="B56" s="82" t="n">
        <x:v>60</x:v>
      </x:c>
      <x:c r="C56" s="89" t="str"/>
      <x:c r="D56" s="89" t="str"/>
      <x:c r="E56" s="89" t="str"/>
      <x:c r="F56" s="89" t="str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</x:cols>
  <x:sheetData>
    <x:row r="1">
      <x:c r="A1" s="98" t="str">
        <x:v>Preference Matrix — 상대 특성에 대한 중요도 / 선호 방향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영역</x:v>
      </x:c>
      <x:c r="B3" s="14" t="str">
        <x:v>특성</x:v>
      </x:c>
      <x:c r="C3" s="14" t="str">
        <x:v>F→M 중요도</x:v>
      </x:c>
      <x:c r="D3" s="14" t="str">
        <x:v>F→M 선호값</x:v>
      </x:c>
      <x:c r="E3" s="14" t="str">
        <x:v>F Deal Breaker</x:v>
      </x:c>
      <x:c r="F3" s="14" t="str">
        <x:v>M→F 중요도</x:v>
      </x:c>
      <x:c r="G3" s="14" t="str">
        <x:v>M→F 선호값</x:v>
      </x:c>
      <x:c r="H3" s="14" t="str">
        <x:v>M Deal Breaker</x:v>
      </x:c>
      <x:c r="I3" s="14" t="str">
        <x:v>허용오차</x:v>
      </x:c>
      <x:c r="J3" s="14" t="str">
        <x:v>설명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Physical</x:v>
      </x:c>
      <x:c r="B4" s="89" t="str">
        <x:v>나이</x:v>
      </x:c>
      <x:c r="C4" s="82" t="n">
        <x:v>20</x:v>
      </x:c>
      <x:c r="D4" s="82" t="n">
        <x:v>28</x:v>
      </x:c>
      <x:c r="E4" s="82" t="n">
        <x:v>0</x:v>
      </x:c>
      <x:c r="F4" s="82" t="n">
        <x:v>15</x:v>
      </x:c>
      <x:c r="G4" s="82" t="n">
        <x:v>25</x:v>
      </x:c>
      <x:c r="H4" s="82" t="n">
        <x:v>0</x:v>
      </x:c>
      <x:c r="I4" s="82" t="n">
        <x:v>10</x:v>
      </x:c>
      <x:c r="J4" s="89" t="str">
        <x:v>선호값=이상적인 상대값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Physical</x:v>
      </x:c>
      <x:c r="B5" s="89" t="str">
        <x:v>얼굴</x:v>
      </x:c>
      <x:c r="C5" s="82" t="n">
        <x:v>25</x:v>
      </x:c>
      <x:c r="D5" s="82" t="n">
        <x:v>70</x:v>
      </x:c>
      <x:c r="E5" s="82" t="n">
        <x:v>0</x:v>
      </x:c>
      <x:c r="F5" s="82" t="n">
        <x:v>30</x:v>
      </x:c>
      <x:c r="G5" s="82" t="n">
        <x:v>80</x:v>
      </x:c>
      <x:c r="H5" s="82" t="n">
        <x:v>0</x:v>
      </x:c>
      <x:c r="I5" s="82" t="n">
        <x:v>30</x:v>
      </x:c>
      <x:c r="J5" s="89" t="str">
        <x:v>0~100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Physical</x:v>
      </x:c>
      <x:c r="B6" s="89" t="str">
        <x:v>키</x:v>
      </x:c>
      <x:c r="C6" s="82" t="n">
        <x:v>10</x:v>
      </x:c>
      <x:c r="D6" s="82" t="n">
        <x:v>65</x:v>
      </x:c>
      <x:c r="E6" s="82" t="n">
        <x:v>0</x:v>
      </x:c>
      <x:c r="F6" s="82" t="n">
        <x:v>10</x:v>
      </x:c>
      <x:c r="G6" s="82" t="n">
        <x:v>55</x:v>
      </x:c>
      <x:c r="H6" s="82" t="n">
        <x:v>0</x:v>
      </x:c>
      <x:c r="I6" s="82" t="n">
        <x:v>35</x:v>
      </x:c>
      <x:c r="J6" s="89" t="str">
        <x:v>0~100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Physical</x:v>
      </x:c>
      <x:c r="B7" s="89" t="str">
        <x:v>몸매</x:v>
      </x:c>
      <x:c r="C7" s="82" t="n">
        <x:v>20</x:v>
      </x:c>
      <x:c r="D7" s="82" t="n">
        <x:v>70</x:v>
      </x:c>
      <x:c r="E7" s="82" t="n">
        <x:v>0</x:v>
      </x:c>
      <x:c r="F7" s="82" t="n">
        <x:v>30</x:v>
      </x:c>
      <x:c r="G7" s="82" t="n">
        <x:v>75</x:v>
      </x:c>
      <x:c r="H7" s="82" t="n">
        <x:v>0</x:v>
      </x:c>
      <x:c r="I7" s="82" t="n">
        <x:v>30</x:v>
      </x:c>
      <x:c r="J7" s="89" t="str">
        <x:v>0~100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Physical</x:v>
      </x:c>
      <x:c r="B8" s="89" t="str">
        <x:v>패션</x:v>
      </x:c>
      <x:c r="C8" s="82" t="n">
        <x:v>15</x:v>
      </x:c>
      <x:c r="D8" s="82" t="n">
        <x:v>65</x:v>
      </x:c>
      <x:c r="E8" s="82" t="n">
        <x:v>0</x:v>
      </x:c>
      <x:c r="F8" s="82" t="n">
        <x:v>15</x:v>
      </x:c>
      <x:c r="G8" s="82" t="n">
        <x:v>60</x:v>
      </x:c>
      <x:c r="H8" s="82" t="n">
        <x:v>0</x:v>
      </x:c>
      <x:c r="I8" s="82" t="n">
        <x:v>35</x:v>
      </x:c>
      <x:c r="J8" s="89" t="str">
        <x:v>0~100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Lifestyle</x:v>
      </x:c>
      <x:c r="B9" s="89" t="str">
        <x:v>재력</x:v>
      </x:c>
      <x:c r="C9" s="82" t="n">
        <x:v>10</x:v>
      </x:c>
      <x:c r="D9" s="82" t="n">
        <x:v>60</x:v>
      </x:c>
      <x:c r="E9" s="82" t="n">
        <x:v>0</x:v>
      </x:c>
      <x:c r="F9" s="82" t="n">
        <x:v>10</x:v>
      </x:c>
      <x:c r="G9" s="82" t="n">
        <x:v>55</x:v>
      </x:c>
      <x:c r="H9" s="82" t="n">
        <x:v>0</x:v>
      </x:c>
      <x:c r="I9" s="82" t="n">
        <x:v>40</x:v>
      </x:c>
      <x:c r="J9" s="89" t="str">
        <x:v>0~100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Personality</x:v>
      </x:c>
      <x:c r="B10" s="89" t="str">
        <x:v>외향성</x:v>
      </x:c>
      <x:c r="C10" s="82" t="n">
        <x:v>10</x:v>
      </x:c>
      <x:c r="D10" s="82" t="n">
        <x:v>55</x:v>
      </x:c>
      <x:c r="E10" s="82" t="n">
        <x:v>0</x:v>
      </x:c>
      <x:c r="F10" s="82" t="n">
        <x:v>10</x:v>
      </x:c>
      <x:c r="G10" s="82" t="n">
        <x:v>50</x:v>
      </x:c>
      <x:c r="H10" s="82" t="n">
        <x:v>0</x:v>
      </x:c>
      <x:c r="I10" s="82" t="n">
        <x:v>40</x:v>
      </x:c>
      <x:c r="J10" s="89" t="str">
        <x:v>0~100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Personality</x:v>
      </x:c>
      <x:c r="B11" s="89" t="str">
        <x:v>유머</x:v>
      </x:c>
      <x:c r="C11" s="82" t="n">
        <x:v>25</x:v>
      </x:c>
      <x:c r="D11" s="82" t="n">
        <x:v>70</x:v>
      </x:c>
      <x:c r="E11" s="82" t="n">
        <x:v>0</x:v>
      </x:c>
      <x:c r="F11" s="82" t="n">
        <x:v>25</x:v>
      </x:c>
      <x:c r="G11" s="82" t="n">
        <x:v>65</x:v>
      </x:c>
      <x:c r="H11" s="82" t="n">
        <x:v>0</x:v>
      </x:c>
      <x:c r="I11" s="82" t="n">
        <x:v>30</x:v>
      </x:c>
      <x:c r="J11" s="89" t="str">
        <x:v>0~100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Personality</x:v>
      </x:c>
      <x:c r="B12" s="89" t="str">
        <x:v>다정함</x:v>
      </x:c>
      <x:c r="C12" s="82" t="n">
        <x:v>25</x:v>
      </x:c>
      <x:c r="D12" s="82" t="n">
        <x:v>75</x:v>
      </x:c>
      <x:c r="E12" s="82" t="n">
        <x:v>0</x:v>
      </x:c>
      <x:c r="F12" s="82" t="n">
        <x:v>20</x:v>
      </x:c>
      <x:c r="G12" s="82" t="n">
        <x:v>70</x:v>
      </x:c>
      <x:c r="H12" s="82" t="n">
        <x:v>0</x:v>
      </x:c>
      <x:c r="I12" s="82" t="n">
        <x:v>25</x:v>
      </x:c>
      <x:c r="J12" s="89" t="str">
        <x:v>0~100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Personality</x:v>
      </x:c>
      <x:c r="B13" s="89" t="str">
        <x:v>자신감</x:v>
      </x:c>
      <x:c r="C13" s="82" t="n">
        <x:v>20</x:v>
      </x:c>
      <x:c r="D13" s="82" t="n">
        <x:v>65</x:v>
      </x:c>
      <x:c r="E13" s="82" t="n">
        <x:v>0</x:v>
      </x:c>
      <x:c r="F13" s="82" t="n">
        <x:v>20</x:v>
      </x:c>
      <x:c r="G13" s="82" t="n">
        <x:v>65</x:v>
      </x:c>
      <x:c r="H13" s="82" t="n">
        <x:v>0</x:v>
      </x:c>
      <x:c r="I13" s="82" t="n">
        <x:v>30</x:v>
      </x:c>
      <x:c r="J13" s="89" t="str">
        <x:v>0~100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Personality</x:v>
      </x:c>
      <x:c r="B14" s="89" t="str">
        <x:v>매너</x:v>
      </x:c>
      <x:c r="C14" s="82" t="n">
        <x:v>20</x:v>
      </x:c>
      <x:c r="D14" s="82" t="n">
        <x:v>80</x:v>
      </x:c>
      <x:c r="E14" s="82" t="n">
        <x:v>1</x:v>
      </x:c>
      <x:c r="F14" s="82" t="n">
        <x:v>25</x:v>
      </x:c>
      <x:c r="G14" s="82" t="n">
        <x:v>75</x:v>
      </x:c>
      <x:c r="H14" s="82" t="n">
        <x:v>0</x:v>
      </x:c>
      <x:c r="I14" s="82" t="n">
        <x:v>20</x:v>
      </x:c>
      <x:c r="J14" s="89" t="str">
        <x:v>0~100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Lifestyle</x:v>
      </x:c>
      <x:c r="B15" s="89" t="str">
        <x:v>지성</x:v>
      </x:c>
      <x:c r="C15" s="82" t="n">
        <x:v>15</x:v>
      </x:c>
      <x:c r="D15" s="82" t="n">
        <x:v>65</x:v>
      </x:c>
      <x:c r="E15" s="82" t="n">
        <x:v>0</x:v>
      </x:c>
      <x:c r="F15" s="82" t="n">
        <x:v>20</x:v>
      </x:c>
      <x:c r="G15" s="82" t="n">
        <x:v>60</x:v>
      </x:c>
      <x:c r="H15" s="82" t="n">
        <x:v>0</x:v>
      </x:c>
      <x:c r="I15" s="82" t="n">
        <x:v>30</x:v>
      </x:c>
      <x:c r="J15" s="89" t="str">
        <x:v>0~100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Lifestyle</x:v>
      </x:c>
      <x:c r="B16" s="89" t="str">
        <x:v>커리어지향</x:v>
      </x:c>
      <x:c r="C16" s="82" t="n">
        <x:v>10</x:v>
      </x:c>
      <x:c r="D16" s="82" t="n">
        <x:v>60</x:v>
      </x:c>
      <x:c r="E16" s="82" t="n">
        <x:v>0</x:v>
      </x:c>
      <x:c r="F16" s="82" t="n">
        <x:v>10</x:v>
      </x:c>
      <x:c r="G16" s="82" t="n">
        <x:v>55</x:v>
      </x:c>
      <x:c r="H16" s="82" t="n">
        <x:v>0</x:v>
      </x:c>
      <x:c r="I16" s="82" t="n">
        <x:v>40</x:v>
      </x:c>
      <x:c r="J16" s="89" t="str">
        <x:v>0~100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Lifestyle</x:v>
      </x:c>
      <x:c r="B17" s="89" t="str">
        <x:v>사회활동</x:v>
      </x:c>
      <x:c r="C17" s="82" t="n">
        <x:v>10</x:v>
      </x:c>
      <x:c r="D17" s="82" t="n">
        <x:v>55</x:v>
      </x:c>
      <x:c r="E17" s="82" t="n">
        <x:v>0</x:v>
      </x:c>
      <x:c r="F17" s="82" t="n">
        <x:v>10</x:v>
      </x:c>
      <x:c r="G17" s="82" t="n">
        <x:v>60</x:v>
      </x:c>
      <x:c r="H17" s="82" t="n">
        <x:v>0</x:v>
      </x:c>
      <x:c r="I17" s="82" t="n">
        <x:v>40</x:v>
      </x:c>
      <x:c r="J17" s="89" t="str">
        <x:v>0~100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 t="str">
        <x:v>Lifestyle</x:v>
      </x:c>
      <x:c r="B18" s="89" t="str">
        <x:v>운동</x:v>
      </x:c>
      <x:c r="C18" s="82" t="n">
        <x:v>10</x:v>
      </x:c>
      <x:c r="D18" s="82" t="n">
        <x:v>45</x:v>
      </x:c>
      <x:c r="E18" s="82" t="n">
        <x:v>0</x:v>
      </x:c>
      <x:c r="F18" s="82" t="n">
        <x:v>10</x:v>
      </x:c>
      <x:c r="G18" s="82" t="n">
        <x:v>55</x:v>
      </x:c>
      <x:c r="H18" s="82" t="n">
        <x:v>0</x:v>
      </x:c>
      <x:c r="I18" s="82" t="n">
        <x:v>45</x:v>
      </x:c>
      <x:c r="J18" s="89" t="str">
        <x:v>0~100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 t="str">
        <x:v>Lifestyle</x:v>
      </x:c>
      <x:c r="B19" s="89" t="str">
        <x:v>가족지향</x:v>
      </x:c>
      <x:c r="C19" s="82" t="n">
        <x:v>10</x:v>
      </x:c>
      <x:c r="D19" s="82" t="n">
        <x:v>55</x:v>
      </x:c>
      <x:c r="E19" s="82" t="n">
        <x:v>0</x:v>
      </x:c>
      <x:c r="F19" s="82" t="n">
        <x:v>15</x:v>
      </x:c>
      <x:c r="G19" s="82" t="n">
        <x:v>60</x:v>
      </x:c>
      <x:c r="H19" s="82" t="n">
        <x:v>0</x:v>
      </x:c>
      <x:c r="I19" s="82" t="n">
        <x:v>35</x:v>
      </x:c>
      <x:c r="J19" s="89" t="str">
        <x:v>0~100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str">
        <x:v>Lifestyle</x:v>
      </x:c>
      <x:c r="B20" s="89" t="str">
        <x:v>독립성</x:v>
      </x:c>
      <x:c r="C20" s="82" t="n">
        <x:v>10</x:v>
      </x:c>
      <x:c r="D20" s="82" t="n">
        <x:v>60</x:v>
      </x:c>
      <x:c r="E20" s="82" t="n">
        <x:v>0</x:v>
      </x:c>
      <x:c r="F20" s="82" t="n">
        <x:v>10</x:v>
      </x:c>
      <x:c r="G20" s="82" t="n">
        <x:v>55</x:v>
      </x:c>
      <x:c r="H20" s="82" t="n">
        <x:v>0</x:v>
      </x:c>
      <x:c r="I20" s="82" t="n">
        <x:v>40</x:v>
      </x:c>
      <x:c r="J20" s="89" t="str">
        <x:v>0~100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str">
        <x:v>Lifestyle</x:v>
      </x:c>
      <x:c r="B21" s="89" t="str">
        <x:v>모험성</x:v>
      </x:c>
      <x:c r="C21" s="82" t="n">
        <x:v>15</x:v>
      </x:c>
      <x:c r="D21" s="82" t="n">
        <x:v>65</x:v>
      </x:c>
      <x:c r="E21" s="82" t="n">
        <x:v>0</x:v>
      </x:c>
      <x:c r="F21" s="82" t="n">
        <x:v>15</x:v>
      </x:c>
      <x:c r="G21" s="82" t="n">
        <x:v>60</x:v>
      </x:c>
      <x:c r="H21" s="82" t="n">
        <x:v>0</x:v>
      </x:c>
      <x:c r="I21" s="82" t="n">
        <x:v>35</x:v>
      </x:c>
      <x:c r="J21" s="89" t="str">
        <x:v>0~100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Intimacy</x:v>
      </x:c>
      <x:c r="B22" s="89" t="str">
        <x:v>친밀감 선호</x:v>
      </x:c>
      <x:c r="C22" s="82" t="n">
        <x:v>25</x:v>
      </x:c>
      <x:c r="D22" s="82" t="n">
        <x:v>70</x:v>
      </x:c>
      <x:c r="E22" s="82" t="n">
        <x:v>0</x:v>
      </x:c>
      <x:c r="F22" s="82" t="n">
        <x:v>25</x:v>
      </x:c>
      <x:c r="G22" s="82" t="n">
        <x:v>65</x:v>
      </x:c>
      <x:c r="H22" s="82" t="n">
        <x:v>0</x:v>
      </x:c>
      <x:c r="I22" s="82" t="n">
        <x:v>30</x:v>
      </x:c>
      <x:c r="J22" s="89" t="str">
        <x:v>0~100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str">
        <x:v>Intimacy</x:v>
      </x:c>
      <x:c r="B23" s="89" t="str">
        <x:v>관계 속도</x:v>
      </x:c>
      <x:c r="C23" s="82" t="n">
        <x:v>20</x:v>
      </x:c>
      <x:c r="D23" s="82" t="n">
        <x:v>55</x:v>
      </x:c>
      <x:c r="E23" s="82" t="n">
        <x:v>0</x:v>
      </x:c>
      <x:c r="F23" s="82" t="n">
        <x:v>20</x:v>
      </x:c>
      <x:c r="G23" s="82" t="n">
        <x:v>60</x:v>
      </x:c>
      <x:c r="H23" s="82" t="n">
        <x:v>0</x:v>
      </x:c>
      <x:c r="I23" s="82" t="n">
        <x:v>30</x:v>
      </x:c>
      <x:c r="J23" s="89" t="str">
        <x:v>0~100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 t="str">
        <x:v>Intimacy</x:v>
      </x:c>
      <x:c r="B24" s="89" t="str">
        <x:v>경계 민감도</x:v>
      </x:c>
      <x:c r="C24" s="82" t="n">
        <x:v>20</x:v>
      </x:c>
      <x:c r="D24" s="82" t="n">
        <x:v>65</x:v>
      </x:c>
      <x:c r="E24" s="82" t="n">
        <x:v>1</x:v>
      </x:c>
      <x:c r="F24" s="82" t="n">
        <x:v>20</x:v>
      </x:c>
      <x:c r="G24" s="82" t="n">
        <x:v>55</x:v>
      </x:c>
      <x:c r="H24" s="82" t="n">
        <x:v>0</x:v>
      </x:c>
      <x:c r="I24" s="82" t="n">
        <x:v>25</x:v>
      </x:c>
      <x:c r="J24" s="89" t="str">
        <x:v>0~100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str">
        <x:v>Intimacy</x:v>
      </x:c>
      <x:c r="B25" s="89" t="str">
        <x:v>반응성</x:v>
      </x:c>
      <x:c r="C25" s="82" t="n">
        <x:v>20</x:v>
      </x:c>
      <x:c r="D25" s="82" t="n">
        <x:v>60</x:v>
      </x:c>
      <x:c r="E25" s="82" t="n">
        <x:v>0</x:v>
      </x:c>
      <x:c r="F25" s="82" t="n">
        <x:v>20</x:v>
      </x:c>
      <x:c r="G25" s="82" t="n">
        <x:v>65</x:v>
      </x:c>
      <x:c r="H25" s="82" t="n">
        <x:v>0</x:v>
      </x:c>
      <x:c r="I25" s="82" t="n">
        <x:v>30</x:v>
      </x:c>
      <x:c r="J25" s="89" t="str">
        <x:v>0~100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J1"/>
  </x:mergeCells>
  <x:dataValidations count="2">
    <x:dataValidation type="list" sqref="E4:E25">
      <x:formula1>"0,1"</x:formula1>
    </x:dataValidation>
    <x:dataValidation type="list" sqref="H4:H25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4" hidden="0" customWidth="1"/>
  </x:cols>
  <x:sheetData>
    <x:row r="1">
      <x:c r="A1" s="102" t="str">
        <x:v>Compatibility Calculation — 양방향 궁합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영역</x:v>
      </x:c>
      <x:c r="B3" s="14" t="str">
        <x:v>특성</x:v>
      </x:c>
      <x:c r="C3" s="14" t="str">
        <x:v>F→M 상대값</x:v>
      </x:c>
      <x:c r="D3" s="14" t="str">
        <x:v>F→M 중요도</x:v>
      </x:c>
      <x:c r="E3" s="14" t="str">
        <x:v>F→M 선호값</x:v>
      </x:c>
      <x:c r="F3" s="14" t="str">
        <x:v>허용오차</x:v>
      </x:c>
      <x:c r="G3" s="14" t="str">
        <x:v>F→M 적합도</x:v>
      </x:c>
      <x:c r="H3" s="14" t="str">
        <x:v>F→M 가중점수</x:v>
      </x:c>
      <x:c r="I3" s="14" t="str">
        <x:v>M→F 상대값</x:v>
      </x:c>
      <x:c r="J3" s="14" t="str">
        <x:v>M→F 중요도</x:v>
      </x:c>
      <x:c r="K3" s="14" t="str">
        <x:v>M→F 선호값</x:v>
      </x:c>
      <x:c r="L3" s="14" t="str">
        <x:v>M→F 적합도</x:v>
      </x:c>
      <x:c r="M3" s="14" t="str">
        <x:v>M→F 가중점수</x:v>
      </x:c>
      <x:c r="N3" s="14" t="str">
        <x:v>비고</x:v>
      </x:c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Physical</x:v>
      </x:c>
      <x:c r="B4" s="89" t="str">
        <x:v>나이</x:v>
      </x:c>
      <x:c r="C4" s="83" t="n">
        <x:f>Male_Profile!B5</x:f>
        <x:v>32</x:v>
      </x:c>
      <x:c r="D4" s="83" t="n">
        <x:f>Preference_Matrix!C4</x:f>
        <x:v>20</x:v>
      </x:c>
      <x:c r="E4" s="83" t="n">
        <x:f>Preference_Matrix!D4</x:f>
        <x:v>28</x:v>
      </x:c>
      <x:c r="F4" s="83" t="n">
        <x:f>Preference_Matrix!I4</x:f>
        <x:v>10</x:v>
      </x:c>
      <x:c r="G4" s="83" t="n">
        <x:f>MAX(0,100-ABS(C4-E4)/MAX(1,F4)*100)</x:f>
        <x:v>60</x:v>
      </x:c>
      <x:c r="H4" s="83" t="n">
        <x:f>G4*D4</x:f>
        <x:v>1200</x:v>
      </x:c>
      <x:c r="I4" s="83" t="n">
        <x:f>Female_Profile!B5</x:f>
        <x:v>21</x:v>
      </x:c>
      <x:c r="J4" s="83" t="n">
        <x:f>Preference_Matrix!F4</x:f>
        <x:v>15</x:v>
      </x:c>
      <x:c r="K4" s="83" t="n">
        <x:f>Preference_Matrix!G4</x:f>
        <x:v>25</x:v>
      </x:c>
      <x:c r="L4" s="83" t="n">
        <x:f>MAX(0,100-ABS(I4-K4)/MAX(1,F4)*100)</x:f>
        <x:v>60</x:v>
      </x:c>
      <x:c r="M4" s="83" t="n">
        <x:f>L4*J4</x:f>
        <x:v>900</x:v>
      </x:c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Physical</x:v>
      </x:c>
      <x:c r="B5" s="89" t="str">
        <x:v>얼굴</x:v>
      </x:c>
      <x:c r="C5" s="83" t="n">
        <x:f>Male_Profile!B11</x:f>
        <x:v>30</x:v>
      </x:c>
      <x:c r="D5" s="83" t="n">
        <x:f>Preference_Matrix!C5</x:f>
        <x:v>25</x:v>
      </x:c>
      <x:c r="E5" s="83" t="n">
        <x:f>Preference_Matrix!D5</x:f>
        <x:v>70</x:v>
      </x:c>
      <x:c r="F5" s="83" t="n">
        <x:f>Preference_Matrix!I5</x:f>
        <x:v>30</x:v>
      </x:c>
      <x:c r="G5" s="83" t="n">
        <x:f>MAX(0,100-ABS(C5-E5)/MAX(1,F5)*100)</x:f>
        <x:v>0</x:v>
      </x:c>
      <x:c r="H5" s="83" t="n">
        <x:f>G5*D5</x:f>
        <x:v>0</x:v>
      </x:c>
      <x:c r="I5" s="83" t="n">
        <x:f>Female_Profile!B11</x:f>
        <x:v>45</x:v>
      </x:c>
      <x:c r="J5" s="83" t="n">
        <x:f>Preference_Matrix!F5</x:f>
        <x:v>30</x:v>
      </x:c>
      <x:c r="K5" s="83" t="n">
        <x:f>Preference_Matrix!G5</x:f>
        <x:v>80</x:v>
      </x:c>
      <x:c r="L5" s="83" t="n">
        <x:f>MAX(0,100-ABS(I5-K5)/MAX(1,F5)*100)</x:f>
        <x:v>0</x:v>
      </x:c>
      <x:c r="M5" s="83" t="n">
        <x:f>L5*J5</x:f>
        <x:v>0</x:v>
      </x:c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Physical</x:v>
      </x:c>
      <x:c r="B6" s="89" t="str">
        <x:v>키</x:v>
      </x:c>
      <x:c r="C6" s="83" t="n">
        <x:f>Male_Profile!B12</x:f>
        <x:v>25</x:v>
      </x:c>
      <x:c r="D6" s="83" t="n">
        <x:f>Preference_Matrix!C6</x:f>
        <x:v>10</x:v>
      </x:c>
      <x:c r="E6" s="83" t="n">
        <x:f>Preference_Matrix!D6</x:f>
        <x:v>65</x:v>
      </x:c>
      <x:c r="F6" s="83" t="n">
        <x:f>Preference_Matrix!I6</x:f>
        <x:v>35</x:v>
      </x:c>
      <x:c r="G6" s="83" t="n">
        <x:f>MAX(0,100-ABS(C6-E6)/MAX(1,F6)*100)</x:f>
        <x:v>0</x:v>
      </x:c>
      <x:c r="H6" s="83" t="n">
        <x:f>G6*D6</x:f>
        <x:v>0</x:v>
      </x:c>
      <x:c r="I6" s="83" t="n">
        <x:f>Female_Profile!B12</x:f>
        <x:v>10</x:v>
      </x:c>
      <x:c r="J6" s="83" t="n">
        <x:f>Preference_Matrix!F6</x:f>
        <x:v>10</x:v>
      </x:c>
      <x:c r="K6" s="83" t="n">
        <x:f>Preference_Matrix!G6</x:f>
        <x:v>55</x:v>
      </x:c>
      <x:c r="L6" s="83" t="n">
        <x:f>MAX(0,100-ABS(I6-K6)/MAX(1,F6)*100)</x:f>
        <x:v>0</x:v>
      </x:c>
      <x:c r="M6" s="83" t="n">
        <x:f>L6*J6</x:f>
        <x:v>0</x:v>
      </x:c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Physical</x:v>
      </x:c>
      <x:c r="B7" s="89" t="str">
        <x:v>몸매</x:v>
      </x:c>
      <x:c r="C7" s="83" t="n">
        <x:f>Male_Profile!B13</x:f>
        <x:v>25</x:v>
      </x:c>
      <x:c r="D7" s="83" t="n">
        <x:f>Preference_Matrix!C7</x:f>
        <x:v>20</x:v>
      </x:c>
      <x:c r="E7" s="83" t="n">
        <x:f>Preference_Matrix!D7</x:f>
        <x:v>70</x:v>
      </x:c>
      <x:c r="F7" s="83" t="n">
        <x:f>Preference_Matrix!I7</x:f>
        <x:v>30</x:v>
      </x:c>
      <x:c r="G7" s="83" t="n">
        <x:f>MAX(0,100-ABS(C7-E7)/MAX(1,F7)*100)</x:f>
        <x:v>0</x:v>
      </x:c>
      <x:c r="H7" s="83" t="n">
        <x:f>G7*D7</x:f>
        <x:v>0</x:v>
      </x:c>
      <x:c r="I7" s="83" t="n">
        <x:f>Female_Profile!B13</x:f>
        <x:v>25</x:v>
      </x:c>
      <x:c r="J7" s="83" t="n">
        <x:f>Preference_Matrix!F7</x:f>
        <x:v>30</x:v>
      </x:c>
      <x:c r="K7" s="83" t="n">
        <x:f>Preference_Matrix!G7</x:f>
        <x:v>75</x:v>
      </x:c>
      <x:c r="L7" s="83" t="n">
        <x:f>MAX(0,100-ABS(I7-K7)/MAX(1,F7)*100)</x:f>
        <x:v>0</x:v>
      </x:c>
      <x:c r="M7" s="83" t="n">
        <x:f>L7*J7</x:f>
        <x:v>0</x:v>
      </x:c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Physical</x:v>
      </x:c>
      <x:c r="B8" s="89" t="str">
        <x:v>패션</x:v>
      </x:c>
      <x:c r="C8" s="83" t="n">
        <x:f>Male_Profile!B14</x:f>
        <x:v>20</x:v>
      </x:c>
      <x:c r="D8" s="83" t="n">
        <x:f>Preference_Matrix!C8</x:f>
        <x:v>15</x:v>
      </x:c>
      <x:c r="E8" s="83" t="n">
        <x:f>Preference_Matrix!D8</x:f>
        <x:v>65</x:v>
      </x:c>
      <x:c r="F8" s="83" t="n">
        <x:f>Preference_Matrix!I8</x:f>
        <x:v>35</x:v>
      </x:c>
      <x:c r="G8" s="83" t="n">
        <x:f>MAX(0,100-ABS(C8-E8)/MAX(1,F8)*100)</x:f>
        <x:v>0</x:v>
      </x:c>
      <x:c r="H8" s="83" t="n">
        <x:f>G8*D8</x:f>
        <x:v>0</x:v>
      </x:c>
      <x:c r="I8" s="83" t="n">
        <x:f>Female_Profile!B14</x:f>
        <x:v>20</x:v>
      </x:c>
      <x:c r="J8" s="83" t="n">
        <x:f>Preference_Matrix!F8</x:f>
        <x:v>15</x:v>
      </x:c>
      <x:c r="K8" s="83" t="n">
        <x:f>Preference_Matrix!G8</x:f>
        <x:v>60</x:v>
      </x:c>
      <x:c r="L8" s="83" t="n">
        <x:f>MAX(0,100-ABS(I8-K8)/MAX(1,F8)*100)</x:f>
        <x:v>0</x:v>
      </x:c>
      <x:c r="M8" s="83" t="n">
        <x:f>L8*J8</x:f>
        <x:v>0</x:v>
      </x:c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Lifestyle</x:v>
      </x:c>
      <x:c r="B9" s="89" t="str">
        <x:v>재력</x:v>
      </x:c>
      <x:c r="C9" s="83" t="n">
        <x:f>Male_Profile!B8</x:f>
        <x:v>55</x:v>
      </x:c>
      <x:c r="D9" s="83" t="n">
        <x:f>Preference_Matrix!C9</x:f>
        <x:v>10</x:v>
      </x:c>
      <x:c r="E9" s="83" t="n">
        <x:f>Preference_Matrix!D9</x:f>
        <x:v>60</x:v>
      </x:c>
      <x:c r="F9" s="83" t="n">
        <x:f>Preference_Matrix!I9</x:f>
        <x:v>40</x:v>
      </x:c>
      <x:c r="G9" s="83" t="n">
        <x:f>MAX(0,100-ABS(C9-E9)/MAX(1,F9)*100)</x:f>
        <x:v>87.5</x:v>
      </x:c>
      <x:c r="H9" s="83" t="n">
        <x:f>G9*D9</x:f>
        <x:v>875</x:v>
      </x:c>
      <x:c r="I9" s="83" t="n">
        <x:f>Female_Profile!B8</x:f>
        <x:v>40</x:v>
      </x:c>
      <x:c r="J9" s="83" t="n">
        <x:f>Preference_Matrix!F9</x:f>
        <x:v>10</x:v>
      </x:c>
      <x:c r="K9" s="83" t="n">
        <x:f>Preference_Matrix!G9</x:f>
        <x:v>55</x:v>
      </x:c>
      <x:c r="L9" s="83" t="n">
        <x:f>MAX(0,100-ABS(I9-K9)/MAX(1,F9)*100)</x:f>
        <x:v>62.5</x:v>
      </x:c>
      <x:c r="M9" s="83" t="n">
        <x:f>L9*J9</x:f>
        <x:v>625</x:v>
      </x:c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Personality</x:v>
      </x:c>
      <x:c r="B10" s="89" t="str">
        <x:v>외향성</x:v>
      </x:c>
      <x:c r="C10" s="83" t="n">
        <x:f>Male_Profile!B20</x:f>
        <x:v>20</x:v>
      </x:c>
      <x:c r="D10" s="83" t="n">
        <x:f>Preference_Matrix!C10</x:f>
        <x:v>10</x:v>
      </x:c>
      <x:c r="E10" s="83" t="n">
        <x:f>Preference_Matrix!D10</x:f>
        <x:v>55</x:v>
      </x:c>
      <x:c r="F10" s="83" t="n">
        <x:f>Preference_Matrix!I10</x:f>
        <x:v>40</x:v>
      </x:c>
      <x:c r="G10" s="83" t="n">
        <x:f>MAX(0,100-ABS(C10-E10)/MAX(1,F10)*100)</x:f>
        <x:v>12.5</x:v>
      </x:c>
      <x:c r="H10" s="83" t="n">
        <x:f>G10*D10</x:f>
        <x:v>125</x:v>
      </x:c>
      <x:c r="I10" s="83" t="n">
        <x:f>Female_Profile!B20</x:f>
        <x:v>30</x:v>
      </x:c>
      <x:c r="J10" s="83" t="n">
        <x:f>Preference_Matrix!F10</x:f>
        <x:v>10</x:v>
      </x:c>
      <x:c r="K10" s="83" t="n">
        <x:f>Preference_Matrix!G10</x:f>
        <x:v>50</x:v>
      </x:c>
      <x:c r="L10" s="83" t="n">
        <x:f>MAX(0,100-ABS(I10-K10)/MAX(1,F10)*100)</x:f>
        <x:v>50</x:v>
      </x:c>
      <x:c r="M10" s="83" t="n">
        <x:f>L10*J10</x:f>
        <x:v>500</x:v>
      </x:c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Personality</x:v>
      </x:c>
      <x:c r="B11" s="89" t="str">
        <x:v>유머</x:v>
      </x:c>
      <x:c r="C11" s="83" t="n">
        <x:f>Male_Profile!B21</x:f>
        <x:v>25</x:v>
      </x:c>
      <x:c r="D11" s="83" t="n">
        <x:f>Preference_Matrix!C11</x:f>
        <x:v>25</x:v>
      </x:c>
      <x:c r="E11" s="83" t="n">
        <x:f>Preference_Matrix!D11</x:f>
        <x:v>70</x:v>
      </x:c>
      <x:c r="F11" s="83" t="n">
        <x:f>Preference_Matrix!I11</x:f>
        <x:v>30</x:v>
      </x:c>
      <x:c r="G11" s="83" t="n">
        <x:f>MAX(0,100-ABS(C11-E11)/MAX(1,F11)*100)</x:f>
        <x:v>0</x:v>
      </x:c>
      <x:c r="H11" s="83" t="n">
        <x:f>G11*D11</x:f>
        <x:v>0</x:v>
      </x:c>
      <x:c r="I11" s="83" t="n">
        <x:f>Female_Profile!B21</x:f>
        <x:v>20</x:v>
      </x:c>
      <x:c r="J11" s="83" t="n">
        <x:f>Preference_Matrix!F11</x:f>
        <x:v>25</x:v>
      </x:c>
      <x:c r="K11" s="83" t="n">
        <x:f>Preference_Matrix!G11</x:f>
        <x:v>65</x:v>
      </x:c>
      <x:c r="L11" s="83" t="n">
        <x:f>MAX(0,100-ABS(I11-K11)/MAX(1,F11)*100)</x:f>
        <x:v>0</x:v>
      </x:c>
      <x:c r="M11" s="83" t="n">
        <x:f>L11*J11</x:f>
        <x:v>0</x:v>
      </x:c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Personality</x:v>
      </x:c>
      <x:c r="B12" s="89" t="str">
        <x:v>다정함</x:v>
      </x:c>
      <x:c r="C12" s="83" t="n">
        <x:f>Male_Profile!B22</x:f>
        <x:v>20</x:v>
      </x:c>
      <x:c r="D12" s="83" t="n">
        <x:f>Preference_Matrix!C12</x:f>
        <x:v>25</x:v>
      </x:c>
      <x:c r="E12" s="83" t="n">
        <x:f>Preference_Matrix!D12</x:f>
        <x:v>75</x:v>
      </x:c>
      <x:c r="F12" s="83" t="n">
        <x:f>Preference_Matrix!I12</x:f>
        <x:v>25</x:v>
      </x:c>
      <x:c r="G12" s="83" t="n">
        <x:f>MAX(0,100-ABS(C12-E12)/MAX(1,F12)*100)</x:f>
        <x:v>0</x:v>
      </x:c>
      <x:c r="H12" s="83" t="n">
        <x:f>G12*D12</x:f>
        <x:v>0</x:v>
      </x:c>
      <x:c r="I12" s="83" t="n">
        <x:f>Female_Profile!B22</x:f>
        <x:v>20</x:v>
      </x:c>
      <x:c r="J12" s="83" t="n">
        <x:f>Preference_Matrix!F12</x:f>
        <x:v>20</x:v>
      </x:c>
      <x:c r="K12" s="83" t="n">
        <x:f>Preference_Matrix!G12</x:f>
        <x:v>70</x:v>
      </x:c>
      <x:c r="L12" s="83" t="n">
        <x:f>MAX(0,100-ABS(I12-K12)/MAX(1,F12)*100)</x:f>
        <x:v>0</x:v>
      </x:c>
      <x:c r="M12" s="83" t="n">
        <x:f>L12*J12</x:f>
        <x:v>0</x:v>
      </x:c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Personality</x:v>
      </x:c>
      <x:c r="B13" s="89" t="str">
        <x:v>자신감</x:v>
      </x:c>
      <x:c r="C13" s="83" t="n">
        <x:f>Male_Profile!B23</x:f>
        <x:v>20</x:v>
      </x:c>
      <x:c r="D13" s="83" t="n">
        <x:f>Preference_Matrix!C13</x:f>
        <x:v>20</x:v>
      </x:c>
      <x:c r="E13" s="83" t="n">
        <x:f>Preference_Matrix!D13</x:f>
        <x:v>65</x:v>
      </x:c>
      <x:c r="F13" s="83" t="n">
        <x:f>Preference_Matrix!I13</x:f>
        <x:v>30</x:v>
      </x:c>
      <x:c r="G13" s="83" t="n">
        <x:f>MAX(0,100-ABS(C13-E13)/MAX(1,F13)*100)</x:f>
        <x:v>0</x:v>
      </x:c>
      <x:c r="H13" s="83" t="n">
        <x:f>G13*D13</x:f>
        <x:v>0</x:v>
      </x:c>
      <x:c r="I13" s="83" t="n">
        <x:f>Female_Profile!B23</x:f>
        <x:v>15</x:v>
      </x:c>
      <x:c r="J13" s="83" t="n">
        <x:f>Preference_Matrix!F13</x:f>
        <x:v>20</x:v>
      </x:c>
      <x:c r="K13" s="83" t="n">
        <x:f>Preference_Matrix!G13</x:f>
        <x:v>65</x:v>
      </x:c>
      <x:c r="L13" s="83" t="n">
        <x:f>MAX(0,100-ABS(I13-K13)/MAX(1,F13)*100)</x:f>
        <x:v>0</x:v>
      </x:c>
      <x:c r="M13" s="83" t="n">
        <x:f>L13*J13</x:f>
        <x:v>0</x:v>
      </x:c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Personality</x:v>
      </x:c>
      <x:c r="B14" s="89" t="str">
        <x:v>매너</x:v>
      </x:c>
      <x:c r="C14" s="83" t="n">
        <x:f>Male_Profile!B24</x:f>
        <x:v>15</x:v>
      </x:c>
      <x:c r="D14" s="83" t="n">
        <x:f>Preference_Matrix!C14</x:f>
        <x:v>20</x:v>
      </x:c>
      <x:c r="E14" s="83" t="n">
        <x:f>Preference_Matrix!D14</x:f>
        <x:v>80</x:v>
      </x:c>
      <x:c r="F14" s="83" t="n">
        <x:f>Preference_Matrix!I14</x:f>
        <x:v>20</x:v>
      </x:c>
      <x:c r="G14" s="83" t="n">
        <x:f>MAX(0,100-ABS(C14-E14)/MAX(1,F14)*100)</x:f>
        <x:v>0</x:v>
      </x:c>
      <x:c r="H14" s="83" t="n">
        <x:f>G14*D14</x:f>
        <x:v>0</x:v>
      </x:c>
      <x:c r="I14" s="83" t="n">
        <x:f>Female_Profile!B24</x:f>
        <x:v>15</x:v>
      </x:c>
      <x:c r="J14" s="83" t="n">
        <x:f>Preference_Matrix!F14</x:f>
        <x:v>25</x:v>
      </x:c>
      <x:c r="K14" s="83" t="n">
        <x:f>Preference_Matrix!G14</x:f>
        <x:v>75</x:v>
      </x:c>
      <x:c r="L14" s="83" t="n">
        <x:f>MAX(0,100-ABS(I14-K14)/MAX(1,F14)*100)</x:f>
        <x:v>0</x:v>
      </x:c>
      <x:c r="M14" s="83" t="n">
        <x:f>L14*J14</x:f>
        <x:v>0</x:v>
      </x:c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Lifestyle</x:v>
      </x:c>
      <x:c r="B15" s="89" t="str">
        <x:v>지성</x:v>
      </x:c>
      <x:c r="C15" s="83" t="n">
        <x:f>Male_Profile!B31</x:f>
        <x:v>65</x:v>
      </x:c>
      <x:c r="D15" s="83" t="n">
        <x:f>Preference_Matrix!C15</x:f>
        <x:v>15</x:v>
      </x:c>
      <x:c r="E15" s="83" t="n">
        <x:f>Preference_Matrix!D15</x:f>
        <x:v>65</x:v>
      </x:c>
      <x:c r="F15" s="83" t="n">
        <x:f>Preference_Matrix!I15</x:f>
        <x:v>30</x:v>
      </x:c>
      <x:c r="G15" s="83" t="n">
        <x:f>MAX(0,100-ABS(C15-E15)/MAX(1,F15)*100)</x:f>
        <x:v>100</x:v>
      </x:c>
      <x:c r="H15" s="83" t="n">
        <x:f>G15*D15</x:f>
        <x:v>1500</x:v>
      </x:c>
      <x:c r="I15" s="83" t="n">
        <x:f>Female_Profile!B31</x:f>
        <x:v>55</x:v>
      </x:c>
      <x:c r="J15" s="83" t="n">
        <x:f>Preference_Matrix!F15</x:f>
        <x:v>20</x:v>
      </x:c>
      <x:c r="K15" s="83" t="n">
        <x:f>Preference_Matrix!G15</x:f>
        <x:v>60</x:v>
      </x:c>
      <x:c r="L15" s="83" t="n">
        <x:f>MAX(0,100-ABS(I15-K15)/MAX(1,F15)*100)</x:f>
        <x:v>83.33333333333334</x:v>
      </x:c>
      <x:c r="M15" s="83" t="n">
        <x:f>L15*J15</x:f>
        <x:v>1666.666666666667</x:v>
      </x:c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Lifestyle</x:v>
      </x:c>
      <x:c r="B16" s="89" t="str">
        <x:v>커리어지향</x:v>
      </x:c>
      <x:c r="C16" s="83" t="n">
        <x:f>Male_Profile!B32</x:f>
        <x:v>70</x:v>
      </x:c>
      <x:c r="D16" s="83" t="n">
        <x:f>Preference_Matrix!C16</x:f>
        <x:v>10</x:v>
      </x:c>
      <x:c r="E16" s="83" t="n">
        <x:f>Preference_Matrix!D16</x:f>
        <x:v>60</x:v>
      </x:c>
      <x:c r="F16" s="83" t="n">
        <x:f>Preference_Matrix!I16</x:f>
        <x:v>40</x:v>
      </x:c>
      <x:c r="G16" s="83" t="n">
        <x:f>MAX(0,100-ABS(C16-E16)/MAX(1,F16)*100)</x:f>
        <x:v>75</x:v>
      </x:c>
      <x:c r="H16" s="83" t="n">
        <x:f>G16*D16</x:f>
        <x:v>750</x:v>
      </x:c>
      <x:c r="I16" s="83" t="n">
        <x:f>Female_Profile!B32</x:f>
        <x:v>45</x:v>
      </x:c>
      <x:c r="J16" s="83" t="n">
        <x:f>Preference_Matrix!F16</x:f>
        <x:v>10</x:v>
      </x:c>
      <x:c r="K16" s="83" t="n">
        <x:f>Preference_Matrix!G16</x:f>
        <x:v>55</x:v>
      </x:c>
      <x:c r="L16" s="83" t="n">
        <x:f>MAX(0,100-ABS(I16-K16)/MAX(1,F16)*100)</x:f>
        <x:v>75</x:v>
      </x:c>
      <x:c r="M16" s="83" t="n">
        <x:f>L16*J16</x:f>
        <x:v>750</x:v>
      </x:c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Lifestyle</x:v>
      </x:c>
      <x:c r="B17" s="89" t="str">
        <x:v>사회활동</x:v>
      </x:c>
      <x:c r="C17" s="83" t="n">
        <x:f>Male_Profile!B34</x:f>
        <x:v>50</x:v>
      </x:c>
      <x:c r="D17" s="83" t="n">
        <x:f>Preference_Matrix!C17</x:f>
        <x:v>10</x:v>
      </x:c>
      <x:c r="E17" s="83" t="n">
        <x:f>Preference_Matrix!D17</x:f>
        <x:v>55</x:v>
      </x:c>
      <x:c r="F17" s="83" t="n">
        <x:f>Preference_Matrix!I17</x:f>
        <x:v>40</x:v>
      </x:c>
      <x:c r="G17" s="83" t="n">
        <x:f>MAX(0,100-ABS(C17-E17)/MAX(1,F17)*100)</x:f>
        <x:v>87.5</x:v>
      </x:c>
      <x:c r="H17" s="83" t="n">
        <x:f>G17*D17</x:f>
        <x:v>875</x:v>
      </x:c>
      <x:c r="I17" s="83" t="n">
        <x:f>Female_Profile!B34</x:f>
        <x:v>70</x:v>
      </x:c>
      <x:c r="J17" s="83" t="n">
        <x:f>Preference_Matrix!F17</x:f>
        <x:v>10</x:v>
      </x:c>
      <x:c r="K17" s="83" t="n">
        <x:f>Preference_Matrix!G17</x:f>
        <x:v>60</x:v>
      </x:c>
      <x:c r="L17" s="83" t="n">
        <x:f>MAX(0,100-ABS(I17-K17)/MAX(1,F17)*100)</x:f>
        <x:v>75</x:v>
      </x:c>
      <x:c r="M17" s="83" t="n">
        <x:f>L17*J17</x:f>
        <x:v>750</x:v>
      </x:c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 t="str">
        <x:v>Lifestyle</x:v>
      </x:c>
      <x:c r="B18" s="89" t="str">
        <x:v>운동</x:v>
      </x:c>
      <x:c r="C18" s="83" t="n">
        <x:f>Male_Profile!B35</x:f>
        <x:v>60</x:v>
      </x:c>
      <x:c r="D18" s="83" t="n">
        <x:f>Preference_Matrix!C18</x:f>
        <x:v>10</x:v>
      </x:c>
      <x:c r="E18" s="83" t="n">
        <x:f>Preference_Matrix!D18</x:f>
        <x:v>45</x:v>
      </x:c>
      <x:c r="F18" s="83" t="n">
        <x:f>Preference_Matrix!I18</x:f>
        <x:v>45</x:v>
      </x:c>
      <x:c r="G18" s="83" t="n">
        <x:f>MAX(0,100-ABS(C18-E18)/MAX(1,F18)*100)</x:f>
        <x:v>66.66666666666667</x:v>
      </x:c>
      <x:c r="H18" s="83" t="n">
        <x:f>G18*D18</x:f>
        <x:v>666.6666666666667</x:v>
      </x:c>
      <x:c r="I18" s="83" t="n">
        <x:f>Female_Profile!B35</x:f>
        <x:v>35</x:v>
      </x:c>
      <x:c r="J18" s="83" t="n">
        <x:f>Preference_Matrix!F18</x:f>
        <x:v>10</x:v>
      </x:c>
      <x:c r="K18" s="83" t="n">
        <x:f>Preference_Matrix!G18</x:f>
        <x:v>55</x:v>
      </x:c>
      <x:c r="L18" s="83" t="n">
        <x:f>MAX(0,100-ABS(I18-K18)/MAX(1,F18)*100)</x:f>
        <x:v>55.55555555555556</x:v>
      </x:c>
      <x:c r="M18" s="83" t="n">
        <x:f>L18*J18</x:f>
        <x:v>555.5555555555555</x:v>
      </x:c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 t="str">
        <x:v>Lifestyle</x:v>
      </x:c>
      <x:c r="B19" s="89" t="str">
        <x:v>가족지향</x:v>
      </x:c>
      <x:c r="C19" s="83" t="n">
        <x:f>Male_Profile!B36</x:f>
        <x:v>55</x:v>
      </x:c>
      <x:c r="D19" s="83" t="n">
        <x:f>Preference_Matrix!C19</x:f>
        <x:v>10</x:v>
      </x:c>
      <x:c r="E19" s="83" t="n">
        <x:f>Preference_Matrix!D19</x:f>
        <x:v>55</x:v>
      </x:c>
      <x:c r="F19" s="83" t="n">
        <x:f>Preference_Matrix!I19</x:f>
        <x:v>35</x:v>
      </x:c>
      <x:c r="G19" s="83" t="n">
        <x:f>MAX(0,100-ABS(C19-E19)/MAX(1,F19)*100)</x:f>
        <x:v>100</x:v>
      </x:c>
      <x:c r="H19" s="83" t="n">
        <x:f>G19*D19</x:f>
        <x:v>1000</x:v>
      </x:c>
      <x:c r="I19" s="83" t="n">
        <x:f>Female_Profile!B36</x:f>
        <x:v>40</x:v>
      </x:c>
      <x:c r="J19" s="83" t="n">
        <x:f>Preference_Matrix!F19</x:f>
        <x:v>15</x:v>
      </x:c>
      <x:c r="K19" s="83" t="n">
        <x:f>Preference_Matrix!G19</x:f>
        <x:v>60</x:v>
      </x:c>
      <x:c r="L19" s="83" t="n">
        <x:f>MAX(0,100-ABS(I19-K19)/MAX(1,F19)*100)</x:f>
        <x:v>42.85714285714286</x:v>
      </x:c>
      <x:c r="M19" s="83" t="n">
        <x:f>L19*J19</x:f>
        <x:v>642.8571428571429</x:v>
      </x:c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str">
        <x:v>Lifestyle</x:v>
      </x:c>
      <x:c r="B20" s="89" t="str">
        <x:v>독립성</x:v>
      </x:c>
      <x:c r="C20" s="83" t="n">
        <x:f>Male_Profile!B37</x:f>
        <x:v>65</x:v>
      </x:c>
      <x:c r="D20" s="83" t="n">
        <x:f>Preference_Matrix!C20</x:f>
        <x:v>10</x:v>
      </x:c>
      <x:c r="E20" s="83" t="n">
        <x:f>Preference_Matrix!D20</x:f>
        <x:v>60</x:v>
      </x:c>
      <x:c r="F20" s="83" t="n">
        <x:f>Preference_Matrix!I20</x:f>
        <x:v>40</x:v>
      </x:c>
      <x:c r="G20" s="83" t="n">
        <x:f>MAX(0,100-ABS(C20-E20)/MAX(1,F20)*100)</x:f>
        <x:v>87.5</x:v>
      </x:c>
      <x:c r="H20" s="83" t="n">
        <x:f>G20*D20</x:f>
        <x:v>875</x:v>
      </x:c>
      <x:c r="I20" s="83" t="n">
        <x:f>Female_Profile!B37</x:f>
        <x:v>50</x:v>
      </x:c>
      <x:c r="J20" s="83" t="n">
        <x:f>Preference_Matrix!F20</x:f>
        <x:v>10</x:v>
      </x:c>
      <x:c r="K20" s="83" t="n">
        <x:f>Preference_Matrix!G20</x:f>
        <x:v>55</x:v>
      </x:c>
      <x:c r="L20" s="83" t="n">
        <x:f>MAX(0,100-ABS(I20-K20)/MAX(1,F20)*100)</x:f>
        <x:v>87.5</x:v>
      </x:c>
      <x:c r="M20" s="83" t="n">
        <x:f>L20*J20</x:f>
        <x:v>875</x:v>
      </x:c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str">
        <x:v>Lifestyle</x:v>
      </x:c>
      <x:c r="B21" s="89" t="str">
        <x:v>모험성</x:v>
      </x:c>
      <x:c r="C21" s="83" t="n">
        <x:f>Male_Profile!B38</x:f>
        <x:v>55</x:v>
      </x:c>
      <x:c r="D21" s="83" t="n">
        <x:f>Preference_Matrix!C21</x:f>
        <x:v>15</x:v>
      </x:c>
      <x:c r="E21" s="83" t="n">
        <x:f>Preference_Matrix!D21</x:f>
        <x:v>65</x:v>
      </x:c>
      <x:c r="F21" s="83" t="n">
        <x:f>Preference_Matrix!I21</x:f>
        <x:v>35</x:v>
      </x:c>
      <x:c r="G21" s="83" t="n">
        <x:f>MAX(0,100-ABS(C21-E21)/MAX(1,F21)*100)</x:f>
        <x:v>71.42857142857143</x:v>
      </x:c>
      <x:c r="H21" s="83" t="n">
        <x:f>G21*D21</x:f>
        <x:v>1071.4285714285716</x:v>
      </x:c>
      <x:c r="I21" s="83" t="n">
        <x:f>Female_Profile!B38</x:f>
        <x:v>65</x:v>
      </x:c>
      <x:c r="J21" s="83" t="n">
        <x:f>Preference_Matrix!F21</x:f>
        <x:v>15</x:v>
      </x:c>
      <x:c r="K21" s="83" t="n">
        <x:f>Preference_Matrix!G21</x:f>
        <x:v>60</x:v>
      </x:c>
      <x:c r="L21" s="83" t="n">
        <x:f>MAX(0,100-ABS(I21-K21)/MAX(1,F21)*100)</x:f>
        <x:v>85.71428571428572</x:v>
      </x:c>
      <x:c r="M21" s="83" t="n">
        <x:f>L21*J21</x:f>
        <x:v>1285.7142857142858</x:v>
      </x:c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str">
        <x:v>Intimacy</x:v>
      </x:c>
      <x:c r="B22" s="89" t="str">
        <x:v>친밀감 선호</x:v>
      </x:c>
      <x:c r="C22" s="83" t="n">
        <x:f>Male_Profile!B50</x:f>
        <x:v>65</x:v>
      </x:c>
      <x:c r="D22" s="83" t="n">
        <x:f>Preference_Matrix!C22</x:f>
        <x:v>25</x:v>
      </x:c>
      <x:c r="E22" s="83" t="n">
        <x:f>Preference_Matrix!D22</x:f>
        <x:v>70</x:v>
      </x:c>
      <x:c r="F22" s="83" t="n">
        <x:f>Preference_Matrix!I22</x:f>
        <x:v>30</x:v>
      </x:c>
      <x:c r="G22" s="83" t="n">
        <x:f>MAX(0,100-ABS(C22-E22)/MAX(1,F22)*100)</x:f>
        <x:v>83.33333333333334</x:v>
      </x:c>
      <x:c r="H22" s="83" t="n">
        <x:f>G22*D22</x:f>
        <x:v>2083.3333333333335</x:v>
      </x:c>
      <x:c r="I22" s="83" t="n">
        <x:f>Female_Profile!B50</x:f>
        <x:v>70</x:v>
      </x:c>
      <x:c r="J22" s="83" t="n">
        <x:f>Preference_Matrix!F22</x:f>
        <x:v>25</x:v>
      </x:c>
      <x:c r="K22" s="83" t="n">
        <x:f>Preference_Matrix!G22</x:f>
        <x:v>65</x:v>
      </x:c>
      <x:c r="L22" s="83" t="n">
        <x:f>MAX(0,100-ABS(I22-K22)/MAX(1,F22)*100)</x:f>
        <x:v>83.33333333333334</x:v>
      </x:c>
      <x:c r="M22" s="83" t="n">
        <x:f>L22*J22</x:f>
        <x:v>2083.3333333333335</x:v>
      </x:c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str">
        <x:v>Intimacy</x:v>
      </x:c>
      <x:c r="B23" s="89" t="str">
        <x:v>관계 속도</x:v>
      </x:c>
      <x:c r="C23" s="83" t="n">
        <x:f>Male_Profile!B51</x:f>
        <x:v>60</x:v>
      </x:c>
      <x:c r="D23" s="83" t="n">
        <x:f>Preference_Matrix!C23</x:f>
        <x:v>20</x:v>
      </x:c>
      <x:c r="E23" s="83" t="n">
        <x:f>Preference_Matrix!D23</x:f>
        <x:v>55</x:v>
      </x:c>
      <x:c r="F23" s="83" t="n">
        <x:f>Preference_Matrix!I23</x:f>
        <x:v>30</x:v>
      </x:c>
      <x:c r="G23" s="83" t="n">
        <x:f>MAX(0,100-ABS(C23-E23)/MAX(1,F23)*100)</x:f>
        <x:v>83.33333333333334</x:v>
      </x:c>
      <x:c r="H23" s="83" t="n">
        <x:f>G23*D23</x:f>
        <x:v>1666.666666666667</x:v>
      </x:c>
      <x:c r="I23" s="83" t="n">
        <x:f>Female_Profile!B51</x:f>
        <x:v>55</x:v>
      </x:c>
      <x:c r="J23" s="83" t="n">
        <x:f>Preference_Matrix!F23</x:f>
        <x:v>20</x:v>
      </x:c>
      <x:c r="K23" s="83" t="n">
        <x:f>Preference_Matrix!G23</x:f>
        <x:v>60</x:v>
      </x:c>
      <x:c r="L23" s="83" t="n">
        <x:f>MAX(0,100-ABS(I23-K23)/MAX(1,F23)*100)</x:f>
        <x:v>83.33333333333334</x:v>
      </x:c>
      <x:c r="M23" s="83" t="n">
        <x:f>L23*J23</x:f>
        <x:v>1666.666666666667</x:v>
      </x:c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 t="str">
        <x:v>Intimacy</x:v>
      </x:c>
      <x:c r="B24" s="89" t="str">
        <x:v>경계 민감도</x:v>
      </x:c>
      <x:c r="C24" s="83" t="n">
        <x:f>Male_Profile!B52</x:f>
        <x:v>55</x:v>
      </x:c>
      <x:c r="D24" s="83" t="n">
        <x:f>Preference_Matrix!C24</x:f>
        <x:v>20</x:v>
      </x:c>
      <x:c r="E24" s="83" t="n">
        <x:f>Preference_Matrix!D24</x:f>
        <x:v>65</x:v>
      </x:c>
      <x:c r="F24" s="83" t="n">
        <x:f>Preference_Matrix!I24</x:f>
        <x:v>25</x:v>
      </x:c>
      <x:c r="G24" s="83" t="n">
        <x:f>MAX(0,100-ABS(C24-E24)/MAX(1,F24)*100)</x:f>
        <x:v>60</x:v>
      </x:c>
      <x:c r="H24" s="83" t="n">
        <x:f>G24*D24</x:f>
        <x:v>1200</x:v>
      </x:c>
      <x:c r="I24" s="83" t="n">
        <x:f>Female_Profile!B52</x:f>
        <x:v>65</x:v>
      </x:c>
      <x:c r="J24" s="83" t="n">
        <x:f>Preference_Matrix!F24</x:f>
        <x:v>20</x:v>
      </x:c>
      <x:c r="K24" s="83" t="n">
        <x:f>Preference_Matrix!G24</x:f>
        <x:v>55</x:v>
      </x:c>
      <x:c r="L24" s="83" t="n">
        <x:f>MAX(0,100-ABS(I24-K24)/MAX(1,F24)*100)</x:f>
        <x:v>60</x:v>
      </x:c>
      <x:c r="M24" s="83" t="n">
        <x:f>L24*J24</x:f>
        <x:v>1200</x:v>
      </x:c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str">
        <x:v>Intimacy</x:v>
      </x:c>
      <x:c r="B25" s="89" t="str">
        <x:v>반응성</x:v>
      </x:c>
      <x:c r="C25" s="83" t="n">
        <x:f>Male_Profile!B53</x:f>
        <x:v>65</x:v>
      </x:c>
      <x:c r="D25" s="83" t="n">
        <x:f>Preference_Matrix!C25</x:f>
        <x:v>20</x:v>
      </x:c>
      <x:c r="E25" s="83" t="n">
        <x:f>Preference_Matrix!D25</x:f>
        <x:v>60</x:v>
      </x:c>
      <x:c r="F25" s="83" t="n">
        <x:f>Preference_Matrix!I25</x:f>
        <x:v>30</x:v>
      </x:c>
      <x:c r="G25" s="83" t="n">
        <x:f>MAX(0,100-ABS(C25-E25)/MAX(1,F25)*100)</x:f>
        <x:v>83.33333333333334</x:v>
      </x:c>
      <x:c r="H25" s="83" t="n">
        <x:f>G25*D25</x:f>
        <x:v>1666.666666666667</x:v>
      </x:c>
      <x:c r="I25" s="83" t="n">
        <x:f>Female_Profile!B53</x:f>
        <x:v>60</x:v>
      </x:c>
      <x:c r="J25" s="83" t="n">
        <x:f>Preference_Matrix!F25</x:f>
        <x:v>20</x:v>
      </x:c>
      <x:c r="K25" s="83" t="n">
        <x:f>Preference_Matrix!G25</x:f>
        <x:v>65</x:v>
      </x:c>
      <x:c r="L25" s="83" t="n">
        <x:f>MAX(0,100-ABS(I25-K25)/MAX(1,F25)*100)</x:f>
        <x:v>83.33333333333334</x:v>
      </x:c>
      <x:c r="M25" s="83" t="n">
        <x:f>L25*J25</x:f>
        <x:v>1666.666666666667</x:v>
      </x:c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14" t="str">
        <x:v>전체</x:v>
      </x:c>
      <x:c r="B26" s="14" t="str"/>
      <x:c r="C26" s="14" t="str"/>
      <x:c r="D26" s="14" t="str"/>
      <x:c r="E26" s="14" t="str"/>
      <x:c r="F26" s="14" t="str"/>
      <x:c r="G26" s="71" t="n">
        <x:f>SUM(H4:H25)/MAX(1,SUM(D4:D25))</x:f>
        <x:v>42.61578604044358</x:v>
      </x:c>
      <x:c r="H26" s="71" t="str"/>
      <x:c r="I26" s="71" t="str"/>
      <x:c r="J26" s="71" t="str"/>
      <x:c r="K26" s="71" t="str"/>
      <x:c r="L26" s="71" t="n">
        <x:f>SUM(M4:M25)/MAX(1,SUM(J4:J25))</x:f>
        <x:v>39.39600082457226</x:v>
      </x:c>
      <x:c r="M26" s="71" t="str"/>
      <x:c r="N26" s="71" t="str">
        <x:f>IF(OR(SUMPRODUCT(--(Preference_Matrix!E4:E25=1),--(G4:G25&lt;25))&gt;0,SUMPRODUCT(--(Preference_Matrix!H4:H25=1),--(L4:L25&lt;25))&gt;0),"Deal Breaker 경고","OK")</x:f>
        <x:v>Deal Breaker 경고</x:v>
      </x:c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14" t="str">
        <x:v>영역</x:v>
      </x:c>
      <x:c r="B29" s="14" t="str">
        <x:v>F→M</x:v>
      </x:c>
      <x:c r="C29" s="14" t="str">
        <x:v>M→F</x:v>
      </x:c>
      <x:c r="D29" s="14" t="str">
        <x:v>Mutual</x:v>
      </x:c>
      <x:c r="E29" s="14" t="str">
        <x:v>가중치</x:v>
      </x:c>
      <x:c r="F29" s="14" t="str">
        <x:v>설명</x:v>
      </x:c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 t="str">
        <x:v>Physical</x:v>
      </x:c>
      <x:c r="B30" s="83" t="n">
        <x:f>SUMPRODUCT(($A$4:$A$25=A30)*$H$4:$H$25)/MAX(1,SUMPRODUCT(($A$4:$A$25=A30)*$D$4:$D$25))</x:f>
        <x:v>13.333333333333334</x:v>
      </x:c>
      <x:c r="C30" s="83" t="n">
        <x:f>SUMPRODUCT(($A$4:$A$25=A30)*$M$4:$M$25)/MAX(1,SUMPRODUCT(($A$4:$A$25=A30)*$J$4:$J$25))</x:f>
        <x:v>9</x:v>
      </x:c>
      <x:c r="D30" s="83" t="n">
        <x:f>SQRT(B30*C30)</x:f>
        <x:v>10.954451150103322</x:v>
      </x:c>
      <x:c r="E30" s="83" t="n">
        <x:v>30</x:v>
      </x:c>
      <x:c r="F30" s="89" t="str">
        <x:v>첫인상/매력</x:v>
      </x:c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 t="str">
        <x:v>Personality</x:v>
      </x:c>
      <x:c r="B31" s="83" t="n">
        <x:f>SUMPRODUCT(($A$4:$A$25=A31)*$H$4:$H$25)/MAX(1,SUMPRODUCT(($A$4:$A$25=A31)*$D$4:$D$25))</x:f>
        <x:v>1.25</x:v>
      </x:c>
      <x:c r="C31" s="83" t="n">
        <x:f>SUMPRODUCT(($A$4:$A$25=A31)*$M$4:$M$25)/MAX(1,SUMPRODUCT(($A$4:$A$25=A31)*$J$4:$J$25))</x:f>
        <x:v>5</x:v>
      </x:c>
      <x:c r="D31" s="83" t="n">
        <x:f>SQRT(B31*C31)</x:f>
        <x:v>2.5</x:v>
      </x:c>
      <x:c r="E31" s="83" t="n">
        <x:v>30</x:v>
      </x:c>
      <x:c r="F31" s="89" t="str">
        <x:v>대화/성격</x:v>
      </x:c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 t="str">
        <x:v>Lifestyle</x:v>
      </x:c>
      <x:c r="B32" s="83" t="n">
        <x:f>SUMPRODUCT(($A$4:$A$25=A32)*$H$4:$H$25)/MAX(1,SUMPRODUCT(($A$4:$A$25=A32)*$D$4:$D$25))</x:f>
        <x:v>84.58994708994709</x:v>
      </x:c>
      <x:c r="C32" s="83" t="n">
        <x:f>SUMPRODUCT(($A$4:$A$25=A32)*$M$4:$M$25)/MAX(1,SUMPRODUCT(($A$4:$A$25=A32)*$J$4:$J$25))</x:f>
        <x:v>71.50793650793652</x:v>
      </x:c>
      <x:c r="D32" s="83" t="n">
        <x:f>SQRT(B32*C32)</x:f>
        <x:v>77.77436959382986</x:v>
      </x:c>
      <x:c r="E32" s="83" t="n">
        <x:v>20</x:v>
      </x:c>
      <x:c r="F32" s="89" t="str">
        <x:v>생활/가치관</x:v>
      </x:c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 t="str">
        <x:v>Intimacy</x:v>
      </x:c>
      <x:c r="B33" s="83" t="n">
        <x:f>SUMPRODUCT(($A$4:$A$25=A33)*$H$4:$H$25)/MAX(1,SUMPRODUCT(($A$4:$A$25=A33)*$D$4:$D$25))</x:f>
        <x:v>77.84313725490196</x:v>
      </x:c>
      <x:c r="C33" s="83" t="n">
        <x:f>SUMPRODUCT(($A$4:$A$25=A33)*$M$4:$M$25)/MAX(1,SUMPRODUCT(($A$4:$A$25=A33)*$J$4:$J$25))</x:f>
        <x:v>77.84313725490196</x:v>
      </x:c>
      <x:c r="D33" s="83" t="n">
        <x:f>SQRT(B33*C33)</x:f>
        <x:v>77.84313725490196</x:v>
      </x:c>
      <x:c r="E33" s="83" t="n">
        <x:v>20</x:v>
      </x:c>
      <x:c r="F33" s="89" t="str">
        <x:v>친밀감 잠재력</x:v>
      </x:c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14" t="str">
        <x:v>최종 지표</x:v>
      </x:c>
      <x:c r="B35" s="14" t="str">
        <x:v>값</x:v>
      </x:c>
      <x:c r="C35" s="14" t="str">
        <x:v>설명</x:v>
      </x:c>
      <x:c r="D35" s="14" t="str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 t="str">
        <x:v>F→M Overall</x:v>
      </x:c>
      <x:c r="B36" s="83" t="n">
        <x:f>G26</x:f>
        <x:v>42.61578604044358</x:v>
      </x:c>
      <x:c r="C36" s="89" t="str">
        <x:v>여성이 남성을 평가한 전체 잠재력</x:v>
      </x:c>
      <x:c r="D36" s="89" t="str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 t="str">
        <x:v>M→F Overall</x:v>
      </x:c>
      <x:c r="B37" s="83" t="n">
        <x:f>L26</x:f>
        <x:v>39.39600082457226</x:v>
      </x:c>
      <x:c r="C37" s="89" t="str">
        <x:v>남성이 여성을 평가한 전체 잠재력</x:v>
      </x:c>
      <x:c r="D37" s="89" t="str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 t="str">
        <x:v>Mutual Compatibility</x:v>
      </x:c>
      <x:c r="B38" s="83" t="n">
        <x:f>SUMPRODUCT(D30:D33,E30:E33)/SUM(E30:E33)</x:f>
        <x:v>35.15983671477736</x:v>
      </x:c>
      <x:c r="C38" s="89" t="str">
        <x:v>양방향 기하평균 + 영역 가중치</x:v>
      </x:c>
      <x:c r="D38" s="89" t="str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N1"/>
  </x:mergeCells>
  <x:conditionalFormatting sqref="B36:B3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06" t="str">
        <x:v>Relationship State — 실제 행동 결과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변수</x:v>
      </x:c>
      <x:c r="B3" s="14" t="str">
        <x:v>초기값</x:v>
      </x:c>
      <x:c r="C3" s="14" t="str">
        <x:v>이벤트 누적</x:v>
      </x:c>
      <x:c r="D3" s="14" t="str">
        <x:v>현재값</x:v>
      </x:c>
      <x:c r="E3" s="14" t="str">
        <x:v>다음 단계 요구</x:v>
      </x:c>
      <x:c r="F3" s="14" t="str">
        <x:v>충족?</x:v>
      </x:c>
      <x:c r="G3" s="14" t="str">
        <x:v>상한</x:v>
      </x:c>
      <x:c r="H3" s="14" t="str">
        <x:v>설명</x:v>
      </x:c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Attraction</x:v>
      </x:c>
      <x:c r="B4" s="82" t="n">
        <x:v>45</x:v>
      </x:c>
      <x:c r="C4" s="83" t="n">
        <x:f>SUMIF(Event_Calc!$B$4:$B$103,A4,Event_Calc!$F$4:$F$103)</x:f>
        <x:v>3</x:v>
      </x:c>
      <x:c r="D4" s="83" t="n">
        <x:f>MAX(0,MIN(G4,B4+C4))</x:f>
        <x:v>48</x:v>
      </x:c>
      <x:c r="E4" s="83" t="n">
        <x:v>60</x:v>
      </x:c>
      <x:c r="F4" s="83" t="str">
        <x:f>IF(D4&gt;=E4,"YES","NO")</x:f>
        <x:v>NO</x:v>
      </x:c>
      <x:c r="G4" s="89" t="n">
        <x:v>100</x:v>
      </x:c>
      <x:c r="H4" s="89" t="str">
        <x:v>이성적 끌림</x:v>
      </x:c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Trust</x:v>
      </x:c>
      <x:c r="B5" s="82" t="n">
        <x:v>35</x:v>
      </x:c>
      <x:c r="C5" s="83" t="n">
        <x:f>SUMIF(Event_Calc!$B$4:$B$103,A5,Event_Calc!$F$4:$F$103)</x:f>
        <x:v>15</x:v>
      </x:c>
      <x:c r="D5" s="83" t="n">
        <x:f>MAX(0,MIN(G5,B5+C5))</x:f>
        <x:v>50</x:v>
      </x:c>
      <x:c r="E5" s="83" t="n">
        <x:v>55</x:v>
      </x:c>
      <x:c r="F5" s="83" t="str">
        <x:f>IF(D5&gt;=E5,"YES","NO")</x:f>
        <x:v>NO</x:v>
      </x:c>
      <x:c r="G5" s="89" t="n">
        <x:v>100</x:v>
      </x:c>
      <x:c r="H5" s="89" t="str">
        <x:v>신뢰</x:v>
      </x:c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Comfort</x:v>
      </x:c>
      <x:c r="B6" s="82" t="n">
        <x:v>40</x:v>
      </x:c>
      <x:c r="C6" s="83" t="n">
        <x:f>SUMIF(Event_Calc!$B$4:$B$103,A6,Event_Calc!$F$4:$F$103)</x:f>
        <x:v>4</x:v>
      </x:c>
      <x:c r="D6" s="83" t="n">
        <x:f>MAX(0,MIN(G6,B6+C6))</x:f>
        <x:v>44</x:v>
      </x:c>
      <x:c r="E6" s="83" t="n">
        <x:v>60</x:v>
      </x:c>
      <x:c r="F6" s="83" t="str">
        <x:f>IF(D6&gt;=E6,"YES","NO")</x:f>
        <x:v>NO</x:v>
      </x:c>
      <x:c r="G6" s="89" t="n">
        <x:v>100</x:v>
      </x:c>
      <x:c r="H6" s="89" t="str">
        <x:v>편안함</x:v>
      </x:c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Affection</x:v>
      </x:c>
      <x:c r="B7" s="82" t="n">
        <x:v>30</x:v>
      </x:c>
      <x:c r="C7" s="83" t="n">
        <x:f>SUMIF(Event_Calc!$B$4:$B$103,A7,Event_Calc!$F$4:$F$103)</x:f>
        <x:v>5</x:v>
      </x:c>
      <x:c r="D7" s="83" t="n">
        <x:f>MAX(0,MIN(G7,B7+C7))</x:f>
        <x:v>35</x:v>
      </x:c>
      <x:c r="E7" s="83" t="n">
        <x:v>55</x:v>
      </x:c>
      <x:c r="F7" s="83" t="str">
        <x:f>IF(D7&gt;=E7,"YES","NO")</x:f>
        <x:v>NO</x:v>
      </x:c>
      <x:c r="G7" s="89" t="n">
        <x:v>100</x:v>
      </x:c>
      <x:c r="H7" s="89" t="str">
        <x:v>정서적 애착</x:v>
      </x:c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Intimacy</x:v>
      </x:c>
      <x:c r="B8" s="82" t="n">
        <x:v>20</x:v>
      </x:c>
      <x:c r="C8" s="83" t="n">
        <x:f>SUMIF(Event_Calc!$B$4:$B$103,A8,Event_Calc!$F$4:$F$103)</x:f>
        <x:v>0</x:v>
      </x:c>
      <x:c r="D8" s="83" t="n">
        <x:f>MAX(0,MIN(G8,B8+C8))</x:f>
        <x:v>20</x:v>
      </x:c>
      <x:c r="E8" s="83" t="n">
        <x:v>60</x:v>
      </x:c>
      <x:c r="F8" s="83" t="str">
        <x:f>IF(D8&gt;=E8,"YES","NO")</x:f>
        <x:v>NO</x:v>
      </x:c>
      <x:c r="G8" s="89" t="n">
        <x:v>100</x:v>
      </x:c>
      <x:c r="H8" s="89" t="str">
        <x:v>친밀도</x:v>
      </x:c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Jealousy</x:v>
      </x:c>
      <x:c r="B9" s="82" t="n">
        <x:v>10</x:v>
      </x:c>
      <x:c r="C9" s="83" t="n">
        <x:f>SUMIF(Event_Calc!$B$4:$B$103,A9,Event_Calc!$F$4:$F$103)</x:f>
        <x:v>0</x:v>
      </x:c>
      <x:c r="D9" s="83" t="n">
        <x:f>MAX(0,MIN(G9,B9+C9))</x:f>
        <x:v>10</x:v>
      </x:c>
      <x:c r="E9" s="83" t="n">
        <x:v>0</x:v>
      </x:c>
      <x:c r="F9" s="83" t="str">
        <x:f>IF(D9&gt;=E9,"YES","NO")</x:f>
        <x:v>YES</x:v>
      </x:c>
      <x:c r="G9" s="89" t="n">
        <x:v>100</x:v>
      </x:c>
      <x:c r="H9" s="89" t="str">
        <x:v>질투/긴장</x:v>
      </x:c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Conflict</x:v>
      </x:c>
      <x:c r="B10" s="82" t="n">
        <x:v>0</x:v>
      </x:c>
      <x:c r="C10" s="83" t="n">
        <x:f>SUMIF(Event_Calc!$B$4:$B$103,A10,Event_Calc!$F$4:$F$103)</x:f>
        <x:v>12</x:v>
      </x:c>
      <x:c r="D10" s="83" t="n">
        <x:f>MAX(0,MIN(G10,B10+C10))</x:f>
        <x:v>12</x:v>
      </x:c>
      <x:c r="E10" s="83" t="n">
        <x:v>0</x:v>
      </x:c>
      <x:c r="F10" s="83" t="str">
        <x:f>IF(D10&gt;=E10,"YES","NO")</x:f>
        <x:v>YES</x:v>
      </x:c>
      <x:c r="G10" s="89" t="n">
        <x:v>100</x:v>
      </x:c>
      <x:c r="H10" s="89" t="str">
        <x:v>갈등</x:v>
      </x:c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/>
      <x:c r="B11" s="89"/>
      <x:c r="C11" s="89"/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14" t="str">
        <x:v>관계 단계</x:v>
      </x:c>
      <x:c r="B12" s="14" t="str">
        <x:v>조건</x:v>
      </x:c>
      <x:c r="C12" s="14" t="str">
        <x:v>현재</x:v>
      </x:c>
      <x:c r="D12" s="14" t="str">
        <x:v>설명</x:v>
      </x:c>
      <x:c r="E12" s="89"/>
      <x:c r="F12" s="14" t="str">
        <x:v>Compatibility 잠재력</x:v>
      </x:c>
      <x:c r="G12" s="14" t="str">
        <x:v>관계 실제점수</x:v>
      </x:c>
      <x:c r="H12" s="14" t="str">
        <x:v>해석</x:v>
      </x:c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Stranger</x:v>
      </x:c>
      <x:c r="B13" s="89" t="str">
        <x:v>기본</x:v>
      </x:c>
      <x:c r="C13" s="83" t="str">
        <x:f>"YES"</x:f>
        <x:v>YES</x:v>
      </x:c>
      <x:c r="D13" s="89" t="str">
        <x:v>처음 만남</x:v>
      </x:c>
      <x:c r="E13" s="89"/>
      <x:c r="F13" s="83" t="n">
        <x:f>Compatibility_Calc!B38</x:f>
        <x:v>35.15983671477736</x:v>
      </x:c>
      <x:c r="G13" s="83" t="n">
        <x:f>AVERAGE(D4:D8)-D10*0.5</x:f>
        <x:v>33.4</x:v>
      </x:c>
      <x:c r="H13" s="83" t="str">
        <x:f>IF(AND(F13&gt;=75,G13&gt;=70),"궁합도 좋고 관계도 좋음",IF(AND(F13&gt;=75,G13&lt;55),"궁합은 높지만 관계 관리 실패",IF(AND(F13&lt;60,G13&gt;=70),"궁합은 보통이나 관계가 깊어짐","보통/불안정")))</x:f>
        <x:v>보통/불안정</x:v>
      </x:c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Interested</x:v>
      </x:c>
      <x:c r="B14" s="89" t="str">
        <x:v>Attraction&gt;=50</x:v>
      </x:c>
      <x:c r="C14" s="83" t="str">
        <x:f>IF(D4&gt;=50,"YES","NO")</x:f>
        <x:v>NO</x:v>
      </x:c>
      <x:c r="D14" s="89" t="str">
        <x:v>서로 관심</x:v>
      </x:c>
      <x:c r="E14" s="89"/>
      <x:c r="F14" s="89" t="str"/>
      <x:c r="G14" s="89" t="str"/>
      <x:c r="H14" s="89" t="str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Dating</x:v>
      </x:c>
      <x:c r="B15" s="89" t="str">
        <x:v>Attraction&gt;=60, Trust&gt;=50</x:v>
      </x:c>
      <x:c r="C15" s="83" t="str">
        <x:f>IF(AND(D4&gt;=60,D5&gt;=50),"YES","NO")</x:f>
        <x:v>NO</x:v>
      </x:c>
      <x:c r="D15" s="89" t="str">
        <x:v>데이트 단계</x:v>
      </x:c>
      <x:c r="E15" s="89"/>
      <x:c r="F15" s="89" t="str"/>
      <x:c r="G15" s="89" t="str"/>
      <x:c r="H15" s="89" t="str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Intimate</x:v>
      </x:c>
      <x:c r="B16" s="89" t="str">
        <x:v>Trust&gt;=55, Comfort&gt;=60, Intimacy&gt;=60</x:v>
      </x:c>
      <x:c r="C16" s="83" t="str">
        <x:f>IF(AND(D5&gt;=55,D6&gt;=60,D8&gt;=60),"YES","NO")</x:f>
        <x:v>NO</x:v>
      </x:c>
      <x:c r="D16" s="89" t="str">
        <x:v>친밀 단계</x:v>
      </x:c>
      <x:c r="E16" s="89"/>
      <x:c r="F16" s="89" t="str"/>
      <x:c r="G16" s="89" t="str"/>
      <x:c r="H16" s="89" t="str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Relationship</x:v>
      </x:c>
      <x:c r="B17" s="89" t="str">
        <x:v>Affection&gt;=70, Trust&gt;=65, Conflict&lt;50</x:v>
      </x:c>
      <x:c r="C17" s="83" t="str">
        <x:f>IF(AND(D7&gt;=70,D5&gt;=65,D10&lt;50),"YES","NO")</x:f>
        <x:v>NO</x:v>
      </x:c>
      <x:c r="D17" s="89" t="str">
        <x:v>안정적 관계</x:v>
      </x:c>
      <x:c r="E17" s="89"/>
      <x:c r="F17" s="89" t="str"/>
      <x:c r="G17" s="89" t="str"/>
      <x:c r="H17" s="89" t="str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H1"/>
  </x:mergeCells>
  <x:conditionalFormatting sqref="D4:D1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{FEE66C3D-6599-6231-A935-D0C7550A5BEF}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EE66C3D-6599-6231-A935-D0C7550A5BEF}">
            <x14:dataBar gradient="1">
              <x14:cfvo type="min"/>
              <x14:cfvo type="max"/>
              <x14:fillColor rgb="FF5B9BD5"/>
            </x14:dataBar>
          </x14:cfRule>
          <xm:sqref>D4:D10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8" hidden="0" customWidth="1"/>
  </x:cols>
  <x:sheetData>
    <x:row r="1">
      <x:c r="A1" s="14" t="str">
        <x:v>Event_ID</x:v>
      </x:c>
      <x:c r="B1" s="14" t="str">
        <x:v>이벤트명</x:v>
      </x:c>
      <x:c r="C1" s="14" t="str">
        <x:v>분류</x:v>
      </x:c>
      <x:c r="D1" s="14" t="str">
        <x:v>Attraction</x:v>
      </x:c>
      <x:c r="E1" s="14" t="str">
        <x:v>Trust</x:v>
      </x:c>
      <x:c r="F1" s="14" t="str">
        <x:v>Comfort</x:v>
      </x:c>
      <x:c r="G1" s="14" t="str">
        <x:v>Affection</x:v>
      </x:c>
      <x:c r="H1" s="14" t="str">
        <x:v>Intimacy</x:v>
      </x:c>
      <x:c r="I1" s="14" t="str">
        <x:v>Jealousy</x:v>
      </x:c>
      <x:c r="J1" s="14" t="str">
        <x:v>Conflict</x:v>
      </x:c>
      <x:c r="K1" s="14" t="str">
        <x:v>조건/설명</x:v>
      </x:c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 t="str">
        <x:v>E001</x:v>
      </x:c>
      <x:c r="B2" s="89" t="str">
        <x:v>좋은 대화</x:v>
      </x:c>
      <x:c r="C2" s="89" t="str">
        <x:v>대화</x:v>
      </x:c>
      <x:c r="D2" s="82" t="n">
        <x:v>3</x:v>
      </x:c>
      <x:c r="E2" s="82" t="n">
        <x:v>2</x:v>
      </x:c>
      <x:c r="F2" s="82" t="n">
        <x:v>2</x:v>
      </x:c>
      <x:c r="G2" s="82" t="n">
        <x:v>2</x:v>
      </x:c>
      <x:c r="H2" s="82" t="n">
        <x:v>0</x:v>
      </x:c>
      <x:c r="I2" s="82" t="n">
        <x:v>0</x:v>
      </x:c>
      <x:c r="J2" s="82" t="n">
        <x:v>-1</x:v>
      </x:c>
      <x:c r="K2" s="89" t="str">
        <x:v>상대 관심사를 잘 듣고 자연스럽게 대화</x:v>
      </x:c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 t="str">
        <x:v>E002</x:v>
      </x:c>
      <x:c r="B3" s="89" t="str">
        <x:v>공통 관심사 발견</x:v>
      </x:c>
      <x:c r="C3" s="89" t="str">
        <x:v>대화</x:v>
      </x:c>
      <x:c r="D3" s="82" t="n">
        <x:v>5</x:v>
      </x:c>
      <x:c r="E3" s="82" t="n">
        <x:v>2</x:v>
      </x:c>
      <x:c r="F3" s="82" t="n">
        <x:v>4</x:v>
      </x:c>
      <x:c r="G3" s="82" t="n">
        <x:v>3</x:v>
      </x:c>
      <x:c r="H3" s="82" t="n">
        <x:v>0</x:v>
      </x:c>
      <x:c r="I3" s="82" t="n">
        <x:v>0</x:v>
      </x:c>
      <x:c r="J3" s="82" t="n">
        <x:v>-1</x:v>
      </x:c>
      <x:c r="K3" s="89" t="str">
        <x:v>취향/가치관 공통점 발견</x:v>
      </x:c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E003</x:v>
      </x:c>
      <x:c r="B4" s="89" t="str">
        <x:v>무례한 발언</x:v>
      </x:c>
      <x:c r="C4" s="89" t="str">
        <x:v>대화</x:v>
      </x:c>
      <x:c r="D4" s="82" t="n">
        <x:v>-6</x:v>
      </x:c>
      <x:c r="E4" s="82" t="n">
        <x:v>-8</x:v>
      </x:c>
      <x:c r="F4" s="82" t="n">
        <x:v>-8</x:v>
      </x:c>
      <x:c r="G4" s="82" t="n">
        <x:v>-3</x:v>
      </x:c>
      <x:c r="H4" s="82" t="n">
        <x:v>0</x:v>
      </x:c>
      <x:c r="I4" s="82" t="n">
        <x:v>0</x:v>
      </x:c>
      <x:c r="J4" s="82" t="n">
        <x:v>8</x:v>
      </x:c>
      <x:c r="K4" s="89" t="str">
        <x:v>Boundary/매너 위반</x:v>
      </x:c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E004</x:v>
      </x:c>
      <x:c r="B5" s="89" t="str">
        <x:v>약속 지킴</x:v>
      </x:c>
      <x:c r="C5" s="89" t="str">
        <x:v>데이트</x:v>
      </x:c>
      <x:c r="D5" s="82" t="n">
        <x:v>2</x:v>
      </x:c>
      <x:c r="E5" s="82" t="n">
        <x:v>7</x:v>
      </x:c>
      <x:c r="F5" s="82" t="n">
        <x:v>4</x:v>
      </x:c>
      <x:c r="G5" s="82" t="n">
        <x:v>3</x:v>
      </x:c>
      <x:c r="H5" s="82" t="n">
        <x:v>0</x:v>
      </x:c>
      <x:c r="I5" s="82" t="n">
        <x:v>0</x:v>
      </x:c>
      <x:c r="J5" s="82" t="n">
        <x:v>-2</x:v>
      </x:c>
      <x:c r="K5" s="89" t="str">
        <x:v>시간/약속 준수</x:v>
      </x:c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E005</x:v>
      </x:c>
      <x:c r="B6" s="89" t="str">
        <x:v>약속 파기</x:v>
      </x:c>
      <x:c r="C6" s="89" t="str">
        <x:v>데이트</x:v>
      </x:c>
      <x:c r="D6" s="82" t="n">
        <x:v>-4</x:v>
      </x:c>
      <x:c r="E6" s="82" t="n">
        <x:v>-12</x:v>
      </x:c>
      <x:c r="F6" s="82" t="n">
        <x:v>-8</x:v>
      </x:c>
      <x:c r="G6" s="82" t="n">
        <x:v>-5</x:v>
      </x:c>
      <x:c r="H6" s="82" t="n">
        <x:v>0</x:v>
      </x:c>
      <x:c r="I6" s="82" t="n">
        <x:v>2</x:v>
      </x:c>
      <x:c r="J6" s="82" t="n">
        <x:v>12</x:v>
      </x:c>
      <x:c r="K6" s="89" t="str">
        <x:v>정당한 설명 없을 때</x:v>
      </x:c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E006</x:v>
      </x:c>
      <x:c r="B7" s="89" t="str">
        <x:v>좋은 데이트</x:v>
      </x:c>
      <x:c r="C7" s="89" t="str">
        <x:v>데이트</x:v>
      </x:c>
      <x:c r="D7" s="82" t="n">
        <x:v>6</x:v>
      </x:c>
      <x:c r="E7" s="82" t="n">
        <x:v>5</x:v>
      </x:c>
      <x:c r="F7" s="82" t="n">
        <x:v>6</x:v>
      </x:c>
      <x:c r="G7" s="82" t="n">
        <x:v>7</x:v>
      </x:c>
      <x:c r="H7" s="82" t="n">
        <x:v>2</x:v>
      </x:c>
      <x:c r="I7" s="82" t="n">
        <x:v>0</x:v>
      </x:c>
      <x:c r="J7" s="82" t="n">
        <x:v>-2</x:v>
      </x:c>
      <x:c r="K7" s="89" t="str">
        <x:v>장소/대화가 잘 맞음</x:v>
      </x:c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E007</x:v>
      </x:c>
      <x:c r="B8" s="89" t="str">
        <x:v>선물 적중</x:v>
      </x:c>
      <x:c r="C8" s="89" t="str">
        <x:v>선물</x:v>
      </x:c>
      <x:c r="D8" s="82" t="n">
        <x:v>4</x:v>
      </x:c>
      <x:c r="E8" s="82" t="n">
        <x:v>2</x:v>
      </x:c>
      <x:c r="F8" s="82" t="n">
        <x:v>3</x:v>
      </x:c>
      <x:c r="G8" s="82" t="n">
        <x:v>3</x:v>
      </x:c>
      <x:c r="H8" s="82" t="n">
        <x:v>0</x:v>
      </x:c>
      <x:c r="I8" s="82" t="n">
        <x:v>0</x:v>
      </x:c>
      <x:c r="J8" s="82" t="n">
        <x:v>0</x:v>
      </x:c>
      <x:c r="K8" s="89" t="str">
        <x:v>상대 취향과 맞는 선물</x:v>
      </x:c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E008</x:v>
      </x:c>
      <x:c r="B9" s="89" t="str">
        <x:v>선물 실패</x:v>
      </x:c>
      <x:c r="C9" s="89" t="str">
        <x:v>선물</x:v>
      </x:c>
      <x:c r="D9" s="82" t="n">
        <x:v>-1</x:v>
      </x:c>
      <x:c r="E9" s="82" t="n">
        <x:v>0</x:v>
      </x:c>
      <x:c r="F9" s="82" t="n">
        <x:v>-1</x:v>
      </x:c>
      <x:c r="G9" s="82" t="n">
        <x:v>0</x:v>
      </x:c>
      <x:c r="H9" s="82" t="n">
        <x:v>0</x:v>
      </x:c>
      <x:c r="I9" s="82" t="n">
        <x:v>0</x:v>
      </x:c>
      <x:c r="J9" s="82" t="n">
        <x:v>1</x:v>
      </x:c>
      <x:c r="K9" s="89" t="str">
        <x:v>취향과 어긋남</x:v>
      </x:c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E009</x:v>
      </x:c>
      <x:c r="B10" s="89" t="str">
        <x:v>우연한 만남</x:v>
      </x:c>
      <x:c r="C10" s="89" t="str">
        <x:v>이벤트</x:v>
      </x:c>
      <x:c r="D10" s="82" t="n">
        <x:v>3</x:v>
      </x:c>
      <x:c r="E10" s="82" t="n">
        <x:v>1</x:v>
      </x:c>
      <x:c r="F10" s="82" t="n">
        <x:v>2</x:v>
      </x:c>
      <x:c r="G10" s="82" t="n">
        <x:v>2</x:v>
      </x:c>
      <x:c r="H10" s="82" t="n">
        <x:v>0</x:v>
      </x:c>
      <x:c r="I10" s="82" t="n">
        <x:v>0</x:v>
      </x:c>
      <x:c r="J10" s="82" t="n">
        <x:v>0</x:v>
      </x:c>
      <x:c r="K10" s="89" t="str">
        <x:v>좋은 분위기의 unexpected encounter</x:v>
      </x:c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str">
        <x:v>E010</x:v>
      </x:c>
      <x:c r="B11" s="89" t="str">
        <x:v>다른 NPC와 친밀 장면 목격</x:v>
      </x:c>
      <x:c r="C11" s="89" t="str">
        <x:v>질투</x:v>
      </x:c>
      <x:c r="D11" s="82" t="n">
        <x:v>-2</x:v>
      </x:c>
      <x:c r="E11" s="82" t="n">
        <x:v>-3</x:v>
      </x:c>
      <x:c r="F11" s="82" t="n">
        <x:v>-2</x:v>
      </x:c>
      <x:c r="G11" s="82" t="n">
        <x:v>-2</x:v>
      </x:c>
      <x:c r="H11" s="82" t="n">
        <x:v>0</x:v>
      </x:c>
      <x:c r="I11" s="82" t="n">
        <x:v>10</x:v>
      </x:c>
      <x:c r="J11" s="82" t="n">
        <x:v>8</x:v>
      </x:c>
      <x:c r="K11" s="89" t="str">
        <x:v>질투성 수치에 따라 배율 적용 가능</x:v>
      </x:c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str">
        <x:v>E011</x:v>
      </x:c>
      <x:c r="B12" s="89" t="str">
        <x:v>진솔한 사과</x:v>
      </x:c>
      <x:c r="C12" s="89" t="str">
        <x:v>회복</x:v>
      </x:c>
      <x:c r="D12" s="82" t="n">
        <x:v>1</x:v>
      </x:c>
      <x:c r="E12" s="82" t="n">
        <x:v>8</x:v>
      </x:c>
      <x:c r="F12" s="82" t="n">
        <x:v>5</x:v>
      </x:c>
      <x:c r="G12" s="82" t="n">
        <x:v>4</x:v>
      </x:c>
      <x:c r="H12" s="82" t="n">
        <x:v>0</x:v>
      </x:c>
      <x:c r="I12" s="82" t="n">
        <x:v>-2</x:v>
      </x:c>
      <x:c r="J12" s="82" t="n">
        <x:v>-8</x:v>
      </x:c>
      <x:c r="K12" s="89" t="str">
        <x:v>실수 인정 + 책임</x:v>
      </x:c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str">
        <x:v>E012</x:v>
      </x:c>
      <x:c r="B13" s="89" t="str">
        <x:v>갈등 회피</x:v>
      </x:c>
      <x:c r="C13" s="89" t="str">
        <x:v>갈등</x:v>
      </x:c>
      <x:c r="D13" s="82" t="n">
        <x:v>-1</x:v>
      </x:c>
      <x:c r="E13" s="82" t="n">
        <x:v>-3</x:v>
      </x:c>
      <x:c r="F13" s="82" t="n">
        <x:v>-4</x:v>
      </x:c>
      <x:c r="G13" s="82" t="n">
        <x:v>-2</x:v>
      </x:c>
      <x:c r="H13" s="82" t="n">
        <x:v>0</x:v>
      </x:c>
      <x:c r="I13" s="82" t="n">
        <x:v>2</x:v>
      </x:c>
      <x:c r="J13" s="82" t="n">
        <x:v>5</x:v>
      </x:c>
      <x:c r="K13" s="89" t="str">
        <x:v>갈등 상황에서 회피</x:v>
      </x:c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str">
        <x:v>E013</x:v>
      </x:c>
      <x:c r="B14" s="89" t="str">
        <x:v>개인적 기억 회상</x:v>
      </x:c>
      <x:c r="C14" s="89" t="str">
        <x:v>Memory</x:v>
      </x:c>
      <x:c r="D14" s="82" t="n">
        <x:v>4</x:v>
      </x:c>
      <x:c r="E14" s="82" t="n">
        <x:v>5</x:v>
      </x:c>
      <x:c r="F14" s="82" t="n">
        <x:v>5</x:v>
      </x:c>
      <x:c r="G14" s="82" t="n">
        <x:v>5</x:v>
      </x:c>
      <x:c r="H14" s="82" t="n">
        <x:v>0</x:v>
      </x:c>
      <x:c r="I14" s="82" t="n">
        <x:v>0</x:v>
      </x:c>
      <x:c r="J14" s="82" t="n">
        <x:v>-2</x:v>
      </x:c>
      <x:c r="K14" s="89" t="str">
        <x:v>예전 대화/취향 기억</x:v>
      </x:c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str">
        <x:v>E014</x:v>
      </x:c>
      <x:c r="B15" s="89" t="str">
        <x:v>데이트 장소 취향 적중</x:v>
      </x:c>
      <x:c r="C15" s="89" t="str">
        <x:v>데이트</x:v>
      </x:c>
      <x:c r="D15" s="82" t="n">
        <x:v>5</x:v>
      </x:c>
      <x:c r="E15" s="82" t="n">
        <x:v>3</x:v>
      </x:c>
      <x:c r="F15" s="82" t="n">
        <x:v>5</x:v>
      </x:c>
      <x:c r="G15" s="82" t="n">
        <x:v>4</x:v>
      </x:c>
      <x:c r="H15" s="82" t="n">
        <x:v>1</x:v>
      </x:c>
      <x:c r="I15" s="82" t="n">
        <x:v>0</x:v>
      </x:c>
      <x:c r="J15" s="82" t="n">
        <x:v>-1</x:v>
      </x:c>
      <x:c r="K15" s="89" t="str">
        <x:v>Lifestyle preference와 맞는 장소</x:v>
      </x:c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>
        <x:v>E015</x:v>
      </x:c>
      <x:c r="B16" s="89" t="str">
        <x:v>친밀감 긍정 반응</x:v>
      </x:c>
      <x:c r="C16" s="89" t="str">
        <x:v>Intimacy</x:v>
      </x:c>
      <x:c r="D16" s="82" t="n">
        <x:v>3</x:v>
      </x:c>
      <x:c r="E16" s="82" t="n">
        <x:v>2</x:v>
      </x:c>
      <x:c r="F16" s="82" t="n">
        <x:v>5</x:v>
      </x:c>
      <x:c r="G16" s="82" t="n">
        <x:v>2</x:v>
      </x:c>
      <x:c r="H16" s="82" t="n">
        <x:v>8</x:v>
      </x:c>
      <x:c r="I16" s="82" t="n">
        <x:v>0</x:v>
      </x:c>
      <x:c r="J16" s="82" t="n">
        <x:v>-1</x:v>
      </x:c>
      <x:c r="K16" s="89" t="str">
        <x:v>상대의 반응/경계를 잘 읽음</x:v>
      </x:c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>
        <x:v>E016</x:v>
      </x:c>
      <x:c r="B17" s="89" t="str">
        <x:v>경계 무시</x:v>
      </x:c>
      <x:c r="C17" s="89" t="str">
        <x:v>Intimacy</x:v>
      </x:c>
      <x:c r="D17" s="82" t="n">
        <x:v>-5</x:v>
      </x:c>
      <x:c r="E17" s="82" t="n">
        <x:v>-10</x:v>
      </x:c>
      <x:c r="F17" s="82" t="n">
        <x:v>-12</x:v>
      </x:c>
      <x:c r="G17" s="82" t="n">
        <x:v>-5</x:v>
      </x:c>
      <x:c r="H17" s="82" t="n">
        <x:v>-8</x:v>
      </x:c>
      <x:c r="I17" s="82" t="n">
        <x:v>2</x:v>
      </x:c>
      <x:c r="J17" s="82" t="n">
        <x:v>15</x:v>
      </x:c>
      <x:c r="K17" s="89" t="str">
        <x:v>Boundary 위반</x:v>
      </x:c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</x:cols>
  <x:sheetData>
    <x:row r="1">
      <x:c r="A1" s="14" t="str">
        <x:v>회차</x:v>
      </x:c>
      <x:c r="B1" s="14" t="str">
        <x:v>변수</x:v>
      </x:c>
      <x:c r="C1" s="14" t="str">
        <x:v>Event_ID</x:v>
      </x:c>
      <x:c r="D1" s="14" t="str">
        <x:v>횟수</x:v>
      </x:c>
      <x:c r="E1" s="14" t="str">
        <x:v>배율</x:v>
      </x:c>
      <x:c r="F1" s="14" t="str">
        <x:v>적용 변화량</x:v>
      </x:c>
      <x:c r="G1" s="14" t="str">
        <x:v>메모</x:v>
      </x:c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n">
        <x:v>1</x:v>
      </x:c>
      <x:c r="B4" s="82" t="str">
        <x:v>Attraction</x:v>
      </x:c>
      <x:c r="C4" s="82" t="str">
        <x:v>E001</x:v>
      </x:c>
      <x:c r="D4" s="82" t="n">
        <x:v>1</x:v>
      </x:c>
      <x:c r="E4" s="82" t="n">
        <x:v>1</x:v>
      </x:c>
      <x:c r="F4" s="83" t="n">
        <x:f>IF(OR(B4="",C4="",D4=0),0,INDEX(Event_Table!$D$2:$J$17,MATCH(C4,Event_Table!$A$2:$A$17,0),MATCH(B4,Event_Table!$D$1:$J$1,0))*D4*E4)</x:f>
        <x:v>3</x:v>
      </x:c>
      <x:c r="G4" s="89" t="str">
        <x:v>좋은 대화</x:v>
      </x:c>
      <x:c r="H4" s="89"/>
      <x:c r="I4" s="89"/>
      <x:c r="J4" s="89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n">
        <x:v>2</x:v>
      </x:c>
      <x:c r="B5" s="82" t="str">
        <x:v>Trust</x:v>
      </x:c>
      <x:c r="C5" s="82" t="str">
        <x:v>E004</x:v>
      </x:c>
      <x:c r="D5" s="82" t="n">
        <x:v>1</x:v>
      </x:c>
      <x:c r="E5" s="82" t="n">
        <x:v>1</x:v>
      </x:c>
      <x:c r="F5" s="83" t="n">
        <x:f>IF(OR(B5="",C5="",D5=0),0,INDEX(Event_Table!$D$2:$J$17,MATCH(C5,Event_Table!$A$2:$A$17,0),MATCH(B5,Event_Table!$D$1:$J$1,0))*D5*E5)</x:f>
        <x:v>7</x:v>
      </x:c>
      <x:c r="G5" s="89" t="str">
        <x:v>약속 지킴</x:v>
      </x:c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n">
        <x:v>3</x:v>
      </x:c>
      <x:c r="B6" s="82" t="str">
        <x:v>Comfort</x:v>
      </x:c>
      <x:c r="C6" s="82" t="str">
        <x:v>E002</x:v>
      </x:c>
      <x:c r="D6" s="82" t="n">
        <x:v>1</x:v>
      </x:c>
      <x:c r="E6" s="82" t="n">
        <x:v>1</x:v>
      </x:c>
      <x:c r="F6" s="83" t="n">
        <x:f>IF(OR(B6="",C6="",D6=0),0,INDEX(Event_Table!$D$2:$J$17,MATCH(C6,Event_Table!$A$2:$A$17,0),MATCH(B6,Event_Table!$D$1:$J$1,0))*D6*E6)</x:f>
        <x:v>4</x:v>
      </x:c>
      <x:c r="G6" s="89" t="str">
        <x:v>공통 관심사</x:v>
      </x:c>
      <x:c r="H6" s="89"/>
      <x:c r="I6" s="89"/>
      <x:c r="J6" s="89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n">
        <x:v>4</x:v>
      </x:c>
      <x:c r="B7" s="82" t="str">
        <x:v>Affection</x:v>
      </x:c>
      <x:c r="C7" s="82" t="str">
        <x:v>E013</x:v>
      </x:c>
      <x:c r="D7" s="82" t="n">
        <x:v>1</x:v>
      </x:c>
      <x:c r="E7" s="82" t="n">
        <x:v>1</x:v>
      </x:c>
      <x:c r="F7" s="83" t="n">
        <x:f>IF(OR(B7="",C7="",D7=0),0,INDEX(Event_Table!$D$2:$J$17,MATCH(C7,Event_Table!$A$2:$A$17,0),MATCH(B7,Event_Table!$D$1:$J$1,0))*D7*E7)</x:f>
        <x:v>5</x:v>
      </x:c>
      <x:c r="G7" s="89" t="str">
        <x:v>기억 회상</x:v>
      </x:c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n">
        <x:v>5</x:v>
      </x:c>
      <x:c r="B8" s="82" t="str">
        <x:v>Conflict</x:v>
      </x:c>
      <x:c r="C8" s="82" t="str">
        <x:v>E005</x:v>
      </x:c>
      <x:c r="D8" s="82" t="n">
        <x:v>1</x:v>
      </x:c>
      <x:c r="E8" s="82" t="n">
        <x:v>1</x:v>
      </x:c>
      <x:c r="F8" s="83" t="n">
        <x:f>IF(OR(B8="",C8="",D8=0),0,INDEX(Event_Table!$D$2:$J$17,MATCH(C8,Event_Table!$A$2:$A$17,0),MATCH(B8,Event_Table!$D$1:$J$1,0))*D8*E8)</x:f>
        <x:v>12</x:v>
      </x:c>
      <x:c r="G8" s="89" t="str">
        <x:v>약속 파기</x:v>
      </x:c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n">
        <x:v>6</x:v>
      </x:c>
      <x:c r="B9" s="82" t="str">
        <x:v>Trust</x:v>
      </x:c>
      <x:c r="C9" s="82" t="str">
        <x:v>E011</x:v>
      </x:c>
      <x:c r="D9" s="82" t="n">
        <x:v>1</x:v>
      </x:c>
      <x:c r="E9" s="82" t="n">
        <x:v>1</x:v>
      </x:c>
      <x:c r="F9" s="83" t="n">
        <x:f>IF(OR(B9="",C9="",D9=0),0,INDEX(Event_Table!$D$2:$J$17,MATCH(C9,Event_Table!$A$2:$A$17,0),MATCH(B9,Event_Table!$D$1:$J$1,0))*D9*E9)</x:f>
        <x:v>8</x:v>
      </x:c>
      <x:c r="G9" s="89" t="str">
        <x:v>사과/회복</x:v>
      </x:c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n">
        <x:v>7</x:v>
      </x:c>
      <x:c r="B10" s="82"/>
      <x:c r="C10" s="82"/>
      <x:c r="D10" s="82" t="n">
        <x:v>0</x:v>
      </x:c>
      <x:c r="E10" s="82" t="n">
        <x:v>1</x:v>
      </x:c>
      <x:c r="F10" s="83" t="n">
        <x:f>IF(OR(B10="",C10="",D10=0),0,INDEX(Event_Table!$D$2:$J$17,MATCH(C10,Event_Table!$A$2:$A$17,0),MATCH(B10,Event_Table!$D$1:$J$1,0))*D10*E10)</x:f>
        <x:v>0</x:v>
      </x:c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 t="n">
        <x:v>8</x:v>
      </x:c>
      <x:c r="B11" s="82"/>
      <x:c r="C11" s="82"/>
      <x:c r="D11" s="82" t="n">
        <x:v>0</x:v>
      </x:c>
      <x:c r="E11" s="82" t="n">
        <x:v>1</x:v>
      </x:c>
      <x:c r="F11" s="83" t="n">
        <x:f>IF(OR(B11="",C11="",D11=0),0,INDEX(Event_Table!$D$2:$J$17,MATCH(C11,Event_Table!$A$2:$A$17,0),MATCH(B11,Event_Table!$D$1:$J$1,0))*D11*E11)</x:f>
        <x:v>0</x:v>
      </x:c>
      <x:c r="G11" s="89"/>
      <x:c r="H11" s="89"/>
      <x:c r="I11" s="89"/>
      <x:c r="J11" s="89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 t="n">
        <x:v>9</x:v>
      </x:c>
      <x:c r="B12" s="82"/>
      <x:c r="C12" s="82"/>
      <x:c r="D12" s="82" t="n">
        <x:v>0</x:v>
      </x:c>
      <x:c r="E12" s="82" t="n">
        <x:v>1</x:v>
      </x:c>
      <x:c r="F12" s="83" t="n">
        <x:f>IF(OR(B12="",C12="",D12=0),0,INDEX(Event_Table!$D$2:$J$17,MATCH(C12,Event_Table!$A$2:$A$17,0),MATCH(B12,Event_Table!$D$1:$J$1,0))*D12*E12)</x:f>
        <x:v>0</x:v>
      </x:c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89" t="n">
        <x:v>10</x:v>
      </x:c>
      <x:c r="B13" s="82"/>
      <x:c r="C13" s="82"/>
      <x:c r="D13" s="82" t="n">
        <x:v>0</x:v>
      </x:c>
      <x:c r="E13" s="82" t="n">
        <x:v>1</x:v>
      </x:c>
      <x:c r="F13" s="83" t="n">
        <x:f>IF(OR(B13="",C13="",D13=0),0,INDEX(Event_Table!$D$2:$J$17,MATCH(C13,Event_Table!$A$2:$A$17,0),MATCH(B13,Event_Table!$D$1:$J$1,0))*D13*E13)</x:f>
        <x:v>0</x:v>
      </x:c>
      <x:c r="G13" s="89"/>
      <x:c r="H13" s="89"/>
      <x:c r="I13" s="89"/>
      <x:c r="J13" s="89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9" t="n">
        <x:v>11</x:v>
      </x:c>
      <x:c r="B14" s="82"/>
      <x:c r="C14" s="82"/>
      <x:c r="D14" s="82" t="n">
        <x:v>0</x:v>
      </x:c>
      <x:c r="E14" s="82" t="n">
        <x:v>1</x:v>
      </x:c>
      <x:c r="F14" s="83" t="n">
        <x:f>IF(OR(B14="",C14="",D14=0),0,INDEX(Event_Table!$D$2:$J$17,MATCH(C14,Event_Table!$A$2:$A$17,0),MATCH(B14,Event_Table!$D$1:$J$1,0))*D14*E14)</x:f>
        <x:v>0</x:v>
      </x:c>
      <x:c r="G14" s="89"/>
      <x:c r="H14" s="89"/>
      <x:c r="I14" s="89"/>
      <x:c r="J14" s="89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9" t="n">
        <x:v>12</x:v>
      </x:c>
      <x:c r="B15" s="82"/>
      <x:c r="C15" s="82"/>
      <x:c r="D15" s="82" t="n">
        <x:v>0</x:v>
      </x:c>
      <x:c r="E15" s="82" t="n">
        <x:v>1</x:v>
      </x:c>
      <x:c r="F15" s="83" t="n">
        <x:f>IF(OR(B15="",C15="",D15=0),0,INDEX(Event_Table!$D$2:$J$17,MATCH(C15,Event_Table!$A$2:$A$17,0),MATCH(B15,Event_Table!$D$1:$J$1,0))*D15*E15)</x:f>
        <x:v>0</x:v>
      </x:c>
      <x:c r="G15" s="89"/>
      <x:c r="H15" s="89"/>
      <x:c r="I15" s="89"/>
      <x:c r="J15" s="89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n">
        <x:v>13</x:v>
      </x:c>
      <x:c r="B16" s="82"/>
      <x:c r="C16" s="82"/>
      <x:c r="D16" s="82" t="n">
        <x:v>0</x:v>
      </x:c>
      <x:c r="E16" s="82" t="n">
        <x:v>1</x:v>
      </x:c>
      <x:c r="F16" s="83" t="n">
        <x:f>IF(OR(B16="",C16="",D16=0),0,INDEX(Event_Table!$D$2:$J$17,MATCH(C16,Event_Table!$A$2:$A$17,0),MATCH(B16,Event_Table!$D$1:$J$1,0))*D16*E16)</x:f>
        <x:v>0</x:v>
      </x:c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n">
        <x:v>14</x:v>
      </x:c>
      <x:c r="B17" s="82"/>
      <x:c r="C17" s="82"/>
      <x:c r="D17" s="82" t="n">
        <x:v>0</x:v>
      </x:c>
      <x:c r="E17" s="82" t="n">
        <x:v>1</x:v>
      </x:c>
      <x:c r="F17" s="83" t="n">
        <x:f>IF(OR(B17="",C17="",D17=0),0,INDEX(Event_Table!$D$2:$J$17,MATCH(C17,Event_Table!$A$2:$A$17,0),MATCH(B17,Event_Table!$D$1:$J$1,0))*D17*E17)</x:f>
        <x:v>0</x:v>
      </x:c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 t="n">
        <x:v>15</x:v>
      </x:c>
      <x:c r="B18" s="82"/>
      <x:c r="C18" s="82"/>
      <x:c r="D18" s="82" t="n">
        <x:v>0</x:v>
      </x:c>
      <x:c r="E18" s="82" t="n">
        <x:v>1</x:v>
      </x:c>
      <x:c r="F18" s="83" t="n">
        <x:f>IF(OR(B18="",C18="",D18=0),0,INDEX(Event_Table!$D$2:$J$17,MATCH(C18,Event_Table!$A$2:$A$17,0),MATCH(B18,Event_Table!$D$1:$J$1,0))*D18*E18)</x:f>
        <x:v>0</x:v>
      </x:c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 t="n">
        <x:v>16</x:v>
      </x:c>
      <x:c r="B19" s="82"/>
      <x:c r="C19" s="82"/>
      <x:c r="D19" s="82" t="n">
        <x:v>0</x:v>
      </x:c>
      <x:c r="E19" s="82" t="n">
        <x:v>1</x:v>
      </x:c>
      <x:c r="F19" s="83" t="n">
        <x:f>IF(OR(B19="",C19="",D19=0),0,INDEX(Event_Table!$D$2:$J$17,MATCH(C19,Event_Table!$A$2:$A$17,0),MATCH(B19,Event_Table!$D$1:$J$1,0))*D19*E19)</x:f>
        <x:v>0</x:v>
      </x:c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 t="n">
        <x:v>17</x:v>
      </x:c>
      <x:c r="B20" s="82"/>
      <x:c r="C20" s="82"/>
      <x:c r="D20" s="82" t="n">
        <x:v>0</x:v>
      </x:c>
      <x:c r="E20" s="82" t="n">
        <x:v>1</x:v>
      </x:c>
      <x:c r="F20" s="83" t="n">
        <x:f>IF(OR(B20="",C20="",D20=0),0,INDEX(Event_Table!$D$2:$J$17,MATCH(C20,Event_Table!$A$2:$A$17,0),MATCH(B20,Event_Table!$D$1:$J$1,0))*D20*E20)</x:f>
        <x:v>0</x:v>
      </x:c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 t="n">
        <x:v>18</x:v>
      </x:c>
      <x:c r="B21" s="82"/>
      <x:c r="C21" s="82"/>
      <x:c r="D21" s="82" t="n">
        <x:v>0</x:v>
      </x:c>
      <x:c r="E21" s="82" t="n">
        <x:v>1</x:v>
      </x:c>
      <x:c r="F21" s="83" t="n">
        <x:f>IF(OR(B21="",C21="",D21=0),0,INDEX(Event_Table!$D$2:$J$17,MATCH(C21,Event_Table!$A$2:$A$17,0),MATCH(B21,Event_Table!$D$1:$J$1,0))*D21*E21)</x:f>
        <x:v>0</x:v>
      </x:c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 t="n">
        <x:v>19</x:v>
      </x:c>
      <x:c r="B22" s="82"/>
      <x:c r="C22" s="82"/>
      <x:c r="D22" s="82" t="n">
        <x:v>0</x:v>
      </x:c>
      <x:c r="E22" s="82" t="n">
        <x:v>1</x:v>
      </x:c>
      <x:c r="F22" s="83" t="n">
        <x:f>IF(OR(B22="",C22="",D22=0),0,INDEX(Event_Table!$D$2:$J$17,MATCH(C22,Event_Table!$A$2:$A$17,0),MATCH(B22,Event_Table!$D$1:$J$1,0))*D22*E22)</x:f>
        <x:v>0</x:v>
      </x:c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 t="n">
        <x:v>20</x:v>
      </x:c>
      <x:c r="B23" s="82"/>
      <x:c r="C23" s="82"/>
      <x:c r="D23" s="82" t="n">
        <x:v>0</x:v>
      </x:c>
      <x:c r="E23" s="82" t="n">
        <x:v>1</x:v>
      </x:c>
      <x:c r="F23" s="83" t="n">
        <x:f>IF(OR(B23="",C23="",D23=0),0,INDEX(Event_Table!$D$2:$J$17,MATCH(C23,Event_Table!$A$2:$A$17,0),MATCH(B23,Event_Table!$D$1:$J$1,0))*D23*E23)</x:f>
        <x:v>0</x:v>
      </x:c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 t="n">
        <x:v>21</x:v>
      </x:c>
      <x:c r="B24" s="82"/>
      <x:c r="C24" s="82"/>
      <x:c r="D24" s="82" t="n">
        <x:v>0</x:v>
      </x:c>
      <x:c r="E24" s="82" t="n">
        <x:v>1</x:v>
      </x:c>
      <x:c r="F24" s="83" t="n">
        <x:f>IF(OR(B24="",C24="",D24=0),0,INDEX(Event_Table!$D$2:$J$17,MATCH(C24,Event_Table!$A$2:$A$17,0),MATCH(B24,Event_Table!$D$1:$J$1,0))*D24*E24)</x:f>
        <x:v>0</x:v>
      </x:c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 t="n">
        <x:v>22</x:v>
      </x:c>
      <x:c r="B25" s="82"/>
      <x:c r="C25" s="82"/>
      <x:c r="D25" s="82" t="n">
        <x:v>0</x:v>
      </x:c>
      <x:c r="E25" s="82" t="n">
        <x:v>1</x:v>
      </x:c>
      <x:c r="F25" s="83" t="n">
        <x:f>IF(OR(B25="",C25="",D25=0),0,INDEX(Event_Table!$D$2:$J$17,MATCH(C25,Event_Table!$A$2:$A$17,0),MATCH(B25,Event_Table!$D$1:$J$1,0))*D25*E25)</x:f>
        <x:v>0</x:v>
      </x:c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 t="n">
        <x:v>23</x:v>
      </x:c>
      <x:c r="B26" s="82"/>
      <x:c r="C26" s="82"/>
      <x:c r="D26" s="82" t="n">
        <x:v>0</x:v>
      </x:c>
      <x:c r="E26" s="82" t="n">
        <x:v>1</x:v>
      </x:c>
      <x:c r="F26" s="83" t="n">
        <x:f>IF(OR(B26="",C26="",D26=0),0,INDEX(Event_Table!$D$2:$J$17,MATCH(C26,Event_Table!$A$2:$A$17,0),MATCH(B26,Event_Table!$D$1:$J$1,0))*D26*E26)</x:f>
        <x:v>0</x:v>
      </x:c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 t="n">
        <x:v>24</x:v>
      </x:c>
      <x:c r="B27" s="82"/>
      <x:c r="C27" s="82"/>
      <x:c r="D27" s="82" t="n">
        <x:v>0</x:v>
      </x:c>
      <x:c r="E27" s="82" t="n">
        <x:v>1</x:v>
      </x:c>
      <x:c r="F27" s="83" t="n">
        <x:f>IF(OR(B27="",C27="",D27=0),0,INDEX(Event_Table!$D$2:$J$17,MATCH(C27,Event_Table!$A$2:$A$17,0),MATCH(B27,Event_Table!$D$1:$J$1,0))*D27*E27)</x:f>
        <x:v>0</x:v>
      </x:c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 t="n">
        <x:v>25</x:v>
      </x:c>
      <x:c r="B28" s="82"/>
      <x:c r="C28" s="82"/>
      <x:c r="D28" s="82" t="n">
        <x:v>0</x:v>
      </x:c>
      <x:c r="E28" s="82" t="n">
        <x:v>1</x:v>
      </x:c>
      <x:c r="F28" s="83" t="n">
        <x:f>IF(OR(B28="",C28="",D28=0),0,INDEX(Event_Table!$D$2:$J$17,MATCH(C28,Event_Table!$A$2:$A$17,0),MATCH(B28,Event_Table!$D$1:$J$1,0))*D28*E28)</x:f>
        <x:v>0</x:v>
      </x:c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 t="n">
        <x:v>26</x:v>
      </x:c>
      <x:c r="B29" s="82"/>
      <x:c r="C29" s="82"/>
      <x:c r="D29" s="82" t="n">
        <x:v>0</x:v>
      </x:c>
      <x:c r="E29" s="82" t="n">
        <x:v>1</x:v>
      </x:c>
      <x:c r="F29" s="83" t="n">
        <x:f>IF(OR(B29="",C29="",D29=0),0,INDEX(Event_Table!$D$2:$J$17,MATCH(C29,Event_Table!$A$2:$A$17,0),MATCH(B29,Event_Table!$D$1:$J$1,0))*D29*E29)</x:f>
        <x:v>0</x:v>
      </x:c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 t="n">
        <x:v>27</x:v>
      </x:c>
      <x:c r="B30" s="82"/>
      <x:c r="C30" s="82"/>
      <x:c r="D30" s="82" t="n">
        <x:v>0</x:v>
      </x:c>
      <x:c r="E30" s="82" t="n">
        <x:v>1</x:v>
      </x:c>
      <x:c r="F30" s="83" t="n">
        <x:f>IF(OR(B30="",C30="",D30=0),0,INDEX(Event_Table!$D$2:$J$17,MATCH(C30,Event_Table!$A$2:$A$17,0),MATCH(B30,Event_Table!$D$1:$J$1,0))*D30*E30)</x:f>
        <x:v>0</x:v>
      </x:c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 t="n">
        <x:v>28</x:v>
      </x:c>
      <x:c r="B31" s="82"/>
      <x:c r="C31" s="82"/>
      <x:c r="D31" s="82" t="n">
        <x:v>0</x:v>
      </x:c>
      <x:c r="E31" s="82" t="n">
        <x:v>1</x:v>
      </x:c>
      <x:c r="F31" s="83" t="n">
        <x:f>IF(OR(B31="",C31="",D31=0),0,INDEX(Event_Table!$D$2:$J$17,MATCH(C31,Event_Table!$A$2:$A$17,0),MATCH(B31,Event_Table!$D$1:$J$1,0))*D31*E31)</x:f>
        <x:v>0</x:v>
      </x:c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 t="n">
        <x:v>29</x:v>
      </x:c>
      <x:c r="B32" s="82"/>
      <x:c r="C32" s="82"/>
      <x:c r="D32" s="82" t="n">
        <x:v>0</x:v>
      </x:c>
      <x:c r="E32" s="82" t="n">
        <x:v>1</x:v>
      </x:c>
      <x:c r="F32" s="83" t="n">
        <x:f>IF(OR(B32="",C32="",D32=0),0,INDEX(Event_Table!$D$2:$J$17,MATCH(C32,Event_Table!$A$2:$A$17,0),MATCH(B32,Event_Table!$D$1:$J$1,0))*D32*E32)</x:f>
        <x:v>0</x:v>
      </x:c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 t="n">
        <x:v>30</x:v>
      </x:c>
      <x:c r="B33" s="82"/>
      <x:c r="C33" s="82"/>
      <x:c r="D33" s="82" t="n">
        <x:v>0</x:v>
      </x:c>
      <x:c r="E33" s="82" t="n">
        <x:v>1</x:v>
      </x:c>
      <x:c r="F33" s="83" t="n">
        <x:f>IF(OR(B33="",C33="",D33=0),0,INDEX(Event_Table!$D$2:$J$17,MATCH(C33,Event_Table!$A$2:$A$17,0),MATCH(B33,Event_Table!$D$1:$J$1,0))*D33*E33)</x:f>
        <x:v>0</x:v>
      </x:c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 t="n">
        <x:v>31</x:v>
      </x:c>
      <x:c r="B34" s="82"/>
      <x:c r="C34" s="82"/>
      <x:c r="D34" s="82" t="n">
        <x:v>0</x:v>
      </x:c>
      <x:c r="E34" s="82" t="n">
        <x:v>1</x:v>
      </x:c>
      <x:c r="F34" s="83" t="n">
        <x:f>IF(OR(B34="",C34="",D34=0),0,INDEX(Event_Table!$D$2:$J$17,MATCH(C34,Event_Table!$A$2:$A$17,0),MATCH(B34,Event_Table!$D$1:$J$1,0))*D34*E34)</x:f>
        <x:v>0</x:v>
      </x:c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 t="n">
        <x:v>32</x:v>
      </x:c>
      <x:c r="B35" s="82"/>
      <x:c r="C35" s="82"/>
      <x:c r="D35" s="82" t="n">
        <x:v>0</x:v>
      </x:c>
      <x:c r="E35" s="82" t="n">
        <x:v>1</x:v>
      </x:c>
      <x:c r="F35" s="83" t="n">
        <x:f>IF(OR(B35="",C35="",D35=0),0,INDEX(Event_Table!$D$2:$J$17,MATCH(C35,Event_Table!$A$2:$A$17,0),MATCH(B35,Event_Table!$D$1:$J$1,0))*D35*E35)</x:f>
        <x:v>0</x:v>
      </x:c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 t="n">
        <x:v>33</x:v>
      </x:c>
      <x:c r="B36" s="82"/>
      <x:c r="C36" s="82"/>
      <x:c r="D36" s="82" t="n">
        <x:v>0</x:v>
      </x:c>
      <x:c r="E36" s="82" t="n">
        <x:v>1</x:v>
      </x:c>
      <x:c r="F36" s="83" t="n">
        <x:f>IF(OR(B36="",C36="",D36=0),0,INDEX(Event_Table!$D$2:$J$17,MATCH(C36,Event_Table!$A$2:$A$17,0),MATCH(B36,Event_Table!$D$1:$J$1,0))*D36*E36)</x:f>
        <x:v>0</x:v>
      </x:c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 t="n">
        <x:v>34</x:v>
      </x:c>
      <x:c r="B37" s="82"/>
      <x:c r="C37" s="82"/>
      <x:c r="D37" s="82" t="n">
        <x:v>0</x:v>
      </x:c>
      <x:c r="E37" s="82" t="n">
        <x:v>1</x:v>
      </x:c>
      <x:c r="F37" s="83" t="n">
        <x:f>IF(OR(B37="",C37="",D37=0),0,INDEX(Event_Table!$D$2:$J$17,MATCH(C37,Event_Table!$A$2:$A$17,0),MATCH(B37,Event_Table!$D$1:$J$1,0))*D37*E37)</x:f>
        <x:v>0</x:v>
      </x:c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 t="n">
        <x:v>35</x:v>
      </x:c>
      <x:c r="B38" s="82"/>
      <x:c r="C38" s="82"/>
      <x:c r="D38" s="82" t="n">
        <x:v>0</x:v>
      </x:c>
      <x:c r="E38" s="82" t="n">
        <x:v>1</x:v>
      </x:c>
      <x:c r="F38" s="83" t="n">
        <x:f>IF(OR(B38="",C38="",D38=0),0,INDEX(Event_Table!$D$2:$J$17,MATCH(C38,Event_Table!$A$2:$A$17,0),MATCH(B38,Event_Table!$D$1:$J$1,0))*D38*E38)</x:f>
        <x:v>0</x:v>
      </x:c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 t="n">
        <x:v>36</x:v>
      </x:c>
      <x:c r="B39" s="82"/>
      <x:c r="C39" s="82"/>
      <x:c r="D39" s="82" t="n">
        <x:v>0</x:v>
      </x:c>
      <x:c r="E39" s="82" t="n">
        <x:v>1</x:v>
      </x:c>
      <x:c r="F39" s="83" t="n">
        <x:f>IF(OR(B39="",C39="",D39=0),0,INDEX(Event_Table!$D$2:$J$17,MATCH(C39,Event_Table!$A$2:$A$17,0),MATCH(B39,Event_Table!$D$1:$J$1,0))*D39*E39)</x:f>
        <x:v>0</x:v>
      </x:c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 t="n">
        <x:v>37</x:v>
      </x:c>
      <x:c r="B40" s="82"/>
      <x:c r="C40" s="82"/>
      <x:c r="D40" s="82" t="n">
        <x:v>0</x:v>
      </x:c>
      <x:c r="E40" s="82" t="n">
        <x:v>1</x:v>
      </x:c>
      <x:c r="F40" s="83" t="n">
        <x:f>IF(OR(B40="",C40="",D40=0),0,INDEX(Event_Table!$D$2:$J$17,MATCH(C40,Event_Table!$A$2:$A$17,0),MATCH(B40,Event_Table!$D$1:$J$1,0))*D40*E40)</x:f>
        <x:v>0</x:v>
      </x:c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 t="n">
        <x:v>38</x:v>
      </x:c>
      <x:c r="B41" s="82"/>
      <x:c r="C41" s="82"/>
      <x:c r="D41" s="82" t="n">
        <x:v>0</x:v>
      </x:c>
      <x:c r="E41" s="82" t="n">
        <x:v>1</x:v>
      </x:c>
      <x:c r="F41" s="83" t="n">
        <x:f>IF(OR(B41="",C41="",D41=0),0,INDEX(Event_Table!$D$2:$J$17,MATCH(C41,Event_Table!$A$2:$A$17,0),MATCH(B41,Event_Table!$D$1:$J$1,0))*D41*E41)</x:f>
        <x:v>0</x:v>
      </x:c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 t="n">
        <x:v>39</x:v>
      </x:c>
      <x:c r="B42" s="82"/>
      <x:c r="C42" s="82"/>
      <x:c r="D42" s="82" t="n">
        <x:v>0</x:v>
      </x:c>
      <x:c r="E42" s="82" t="n">
        <x:v>1</x:v>
      </x:c>
      <x:c r="F42" s="83" t="n">
        <x:f>IF(OR(B42="",C42="",D42=0),0,INDEX(Event_Table!$D$2:$J$17,MATCH(C42,Event_Table!$A$2:$A$17,0),MATCH(B42,Event_Table!$D$1:$J$1,0))*D42*E42)</x:f>
        <x:v>0</x:v>
      </x:c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 t="n">
        <x:v>40</x:v>
      </x:c>
      <x:c r="B43" s="82"/>
      <x:c r="C43" s="82"/>
      <x:c r="D43" s="82" t="n">
        <x:v>0</x:v>
      </x:c>
      <x:c r="E43" s="82" t="n">
        <x:v>1</x:v>
      </x:c>
      <x:c r="F43" s="83" t="n">
        <x:f>IF(OR(B43="",C43="",D43=0),0,INDEX(Event_Table!$D$2:$J$17,MATCH(C43,Event_Table!$A$2:$A$17,0),MATCH(B43,Event_Table!$D$1:$J$1,0))*D43*E43)</x:f>
        <x:v>0</x:v>
      </x:c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 t="n">
        <x:v>41</x:v>
      </x:c>
      <x:c r="B44" s="82"/>
      <x:c r="C44" s="82"/>
      <x:c r="D44" s="82" t="n">
        <x:v>0</x:v>
      </x:c>
      <x:c r="E44" s="82" t="n">
        <x:v>1</x:v>
      </x:c>
      <x:c r="F44" s="83" t="n">
        <x:f>IF(OR(B44="",C44="",D44=0),0,INDEX(Event_Table!$D$2:$J$17,MATCH(C44,Event_Table!$A$2:$A$17,0),MATCH(B44,Event_Table!$D$1:$J$1,0))*D44*E44)</x:f>
        <x:v>0</x:v>
      </x:c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 t="n">
        <x:v>42</x:v>
      </x:c>
      <x:c r="B45" s="82"/>
      <x:c r="C45" s="82"/>
      <x:c r="D45" s="82" t="n">
        <x:v>0</x:v>
      </x:c>
      <x:c r="E45" s="82" t="n">
        <x:v>1</x:v>
      </x:c>
      <x:c r="F45" s="83" t="n">
        <x:f>IF(OR(B45="",C45="",D45=0),0,INDEX(Event_Table!$D$2:$J$17,MATCH(C45,Event_Table!$A$2:$A$17,0),MATCH(B45,Event_Table!$D$1:$J$1,0))*D45*E45)</x:f>
        <x:v>0</x:v>
      </x:c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 t="n">
        <x:v>43</x:v>
      </x:c>
      <x:c r="B46" s="82"/>
      <x:c r="C46" s="82"/>
      <x:c r="D46" s="82" t="n">
        <x:v>0</x:v>
      </x:c>
      <x:c r="E46" s="82" t="n">
        <x:v>1</x:v>
      </x:c>
      <x:c r="F46" s="83" t="n">
        <x:f>IF(OR(B46="",C46="",D46=0),0,INDEX(Event_Table!$D$2:$J$17,MATCH(C46,Event_Table!$A$2:$A$17,0),MATCH(B46,Event_Table!$D$1:$J$1,0))*D46*E46)</x:f>
        <x:v>0</x:v>
      </x:c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 t="n">
        <x:v>44</x:v>
      </x:c>
      <x:c r="B47" s="82"/>
      <x:c r="C47" s="82"/>
      <x:c r="D47" s="82" t="n">
        <x:v>0</x:v>
      </x:c>
      <x:c r="E47" s="82" t="n">
        <x:v>1</x:v>
      </x:c>
      <x:c r="F47" s="83" t="n">
        <x:f>IF(OR(B47="",C47="",D47=0),0,INDEX(Event_Table!$D$2:$J$17,MATCH(C47,Event_Table!$A$2:$A$17,0),MATCH(B47,Event_Table!$D$1:$J$1,0))*D47*E47)</x:f>
        <x:v>0</x:v>
      </x:c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 t="n">
        <x:v>45</x:v>
      </x:c>
      <x:c r="B48" s="82"/>
      <x:c r="C48" s="82"/>
      <x:c r="D48" s="82" t="n">
        <x:v>0</x:v>
      </x:c>
      <x:c r="E48" s="82" t="n">
        <x:v>1</x:v>
      </x:c>
      <x:c r="F48" s="83" t="n">
        <x:f>IF(OR(B48="",C48="",D48=0),0,INDEX(Event_Table!$D$2:$J$17,MATCH(C48,Event_Table!$A$2:$A$17,0),MATCH(B48,Event_Table!$D$1:$J$1,0))*D48*E48)</x:f>
        <x:v>0</x:v>
      </x:c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 t="n">
        <x:v>46</x:v>
      </x:c>
      <x:c r="B49" s="82"/>
      <x:c r="C49" s="82"/>
      <x:c r="D49" s="82" t="n">
        <x:v>0</x:v>
      </x:c>
      <x:c r="E49" s="82" t="n">
        <x:v>1</x:v>
      </x:c>
      <x:c r="F49" s="83" t="n">
        <x:f>IF(OR(B49="",C49="",D49=0),0,INDEX(Event_Table!$D$2:$J$17,MATCH(C49,Event_Table!$A$2:$A$17,0),MATCH(B49,Event_Table!$D$1:$J$1,0))*D49*E49)</x:f>
        <x:v>0</x:v>
      </x:c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 t="n">
        <x:v>47</x:v>
      </x:c>
      <x:c r="B50" s="82"/>
      <x:c r="C50" s="82"/>
      <x:c r="D50" s="82" t="n">
        <x:v>0</x:v>
      </x:c>
      <x:c r="E50" s="82" t="n">
        <x:v>1</x:v>
      </x:c>
      <x:c r="F50" s="83" t="n">
        <x:f>IF(OR(B50="",C50="",D50=0),0,INDEX(Event_Table!$D$2:$J$17,MATCH(C50,Event_Table!$A$2:$A$17,0),MATCH(B50,Event_Table!$D$1:$J$1,0))*D50*E50)</x:f>
        <x:v>0</x:v>
      </x:c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 t="n">
        <x:v>48</x:v>
      </x:c>
      <x:c r="B51" s="82"/>
      <x:c r="C51" s="82"/>
      <x:c r="D51" s="82" t="n">
        <x:v>0</x:v>
      </x:c>
      <x:c r="E51" s="82" t="n">
        <x:v>1</x:v>
      </x:c>
      <x:c r="F51" s="83" t="n">
        <x:f>IF(OR(B51="",C51="",D51=0),0,INDEX(Event_Table!$D$2:$J$17,MATCH(C51,Event_Table!$A$2:$A$17,0),MATCH(B51,Event_Table!$D$1:$J$1,0))*D51*E51)</x:f>
        <x:v>0</x:v>
      </x:c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 t="n">
        <x:v>49</x:v>
      </x:c>
      <x:c r="B52" s="82"/>
      <x:c r="C52" s="82"/>
      <x:c r="D52" s="82" t="n">
        <x:v>0</x:v>
      </x:c>
      <x:c r="E52" s="82" t="n">
        <x:v>1</x:v>
      </x:c>
      <x:c r="F52" s="83" t="n">
        <x:f>IF(OR(B52="",C52="",D52=0),0,INDEX(Event_Table!$D$2:$J$17,MATCH(C52,Event_Table!$A$2:$A$17,0),MATCH(B52,Event_Table!$D$1:$J$1,0))*D52*E52)</x:f>
        <x:v>0</x:v>
      </x:c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 t="n">
        <x:v>50</x:v>
      </x:c>
      <x:c r="B53" s="82"/>
      <x:c r="C53" s="82"/>
      <x:c r="D53" s="82" t="n">
        <x:v>0</x:v>
      </x:c>
      <x:c r="E53" s="82" t="n">
        <x:v>1</x:v>
      </x:c>
      <x:c r="F53" s="83" t="n">
        <x:f>IF(OR(B53="",C53="",D53=0),0,INDEX(Event_Table!$D$2:$J$17,MATCH(C53,Event_Table!$A$2:$A$17,0),MATCH(B53,Event_Table!$D$1:$J$1,0))*D53*E53)</x:f>
        <x:v>0</x:v>
      </x:c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 t="n">
        <x:v>51</x:v>
      </x:c>
      <x:c r="B54" s="82"/>
      <x:c r="C54" s="82"/>
      <x:c r="D54" s="82" t="n">
        <x:v>0</x:v>
      </x:c>
      <x:c r="E54" s="82" t="n">
        <x:v>1</x:v>
      </x:c>
      <x:c r="F54" s="83" t="n">
        <x:f>IF(OR(B54="",C54="",D54=0),0,INDEX(Event_Table!$D$2:$J$17,MATCH(C54,Event_Table!$A$2:$A$17,0),MATCH(B54,Event_Table!$D$1:$J$1,0))*D54*E54)</x:f>
        <x:v>0</x:v>
      </x:c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 t="n">
        <x:v>52</x:v>
      </x:c>
      <x:c r="B55" s="82"/>
      <x:c r="C55" s="82"/>
      <x:c r="D55" s="82" t="n">
        <x:v>0</x:v>
      </x:c>
      <x:c r="E55" s="82" t="n">
        <x:v>1</x:v>
      </x:c>
      <x:c r="F55" s="83" t="n">
        <x:f>IF(OR(B55="",C55="",D55=0),0,INDEX(Event_Table!$D$2:$J$17,MATCH(C55,Event_Table!$A$2:$A$17,0),MATCH(B55,Event_Table!$D$1:$J$1,0))*D55*E55)</x:f>
        <x:v>0</x:v>
      </x:c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 t="n">
        <x:v>53</x:v>
      </x:c>
      <x:c r="B56" s="82"/>
      <x:c r="C56" s="82"/>
      <x:c r="D56" s="82" t="n">
        <x:v>0</x:v>
      </x:c>
      <x:c r="E56" s="82" t="n">
        <x:v>1</x:v>
      </x:c>
      <x:c r="F56" s="83" t="n">
        <x:f>IF(OR(B56="",C56="",D56=0),0,INDEX(Event_Table!$D$2:$J$17,MATCH(C56,Event_Table!$A$2:$A$17,0),MATCH(B56,Event_Table!$D$1:$J$1,0))*D56*E56)</x:f>
        <x:v>0</x:v>
      </x:c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 t="n">
        <x:v>54</x:v>
      </x:c>
      <x:c r="B57" s="82"/>
      <x:c r="C57" s="82"/>
      <x:c r="D57" s="82" t="n">
        <x:v>0</x:v>
      </x:c>
      <x:c r="E57" s="82" t="n">
        <x:v>1</x:v>
      </x:c>
      <x:c r="F57" s="83" t="n">
        <x:f>IF(OR(B57="",C57="",D57=0),0,INDEX(Event_Table!$D$2:$J$17,MATCH(C57,Event_Table!$A$2:$A$17,0),MATCH(B57,Event_Table!$D$1:$J$1,0))*D57*E57)</x:f>
        <x:v>0</x:v>
      </x:c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 t="n">
        <x:v>55</x:v>
      </x:c>
      <x:c r="B58" s="82"/>
      <x:c r="C58" s="82"/>
      <x:c r="D58" s="82" t="n">
        <x:v>0</x:v>
      </x:c>
      <x:c r="E58" s="82" t="n">
        <x:v>1</x:v>
      </x:c>
      <x:c r="F58" s="83" t="n">
        <x:f>IF(OR(B58="",C58="",D58=0),0,INDEX(Event_Table!$D$2:$J$17,MATCH(C58,Event_Table!$A$2:$A$17,0),MATCH(B58,Event_Table!$D$1:$J$1,0))*D58*E58)</x:f>
        <x:v>0</x:v>
      </x:c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 t="n">
        <x:v>56</x:v>
      </x:c>
      <x:c r="B59" s="82"/>
      <x:c r="C59" s="82"/>
      <x:c r="D59" s="82" t="n">
        <x:v>0</x:v>
      </x:c>
      <x:c r="E59" s="82" t="n">
        <x:v>1</x:v>
      </x:c>
      <x:c r="F59" s="83" t="n">
        <x:f>IF(OR(B59="",C59="",D59=0),0,INDEX(Event_Table!$D$2:$J$17,MATCH(C59,Event_Table!$A$2:$A$17,0),MATCH(B59,Event_Table!$D$1:$J$1,0))*D59*E59)</x:f>
        <x:v>0</x:v>
      </x:c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 t="n">
        <x:v>57</x:v>
      </x:c>
      <x:c r="B60" s="82"/>
      <x:c r="C60" s="82"/>
      <x:c r="D60" s="82" t="n">
        <x:v>0</x:v>
      </x:c>
      <x:c r="E60" s="82" t="n">
        <x:v>1</x:v>
      </x:c>
      <x:c r="F60" s="83" t="n">
        <x:f>IF(OR(B60="",C60="",D60=0),0,INDEX(Event_Table!$D$2:$J$17,MATCH(C60,Event_Table!$A$2:$A$17,0),MATCH(B60,Event_Table!$D$1:$J$1,0))*D60*E60)</x:f>
        <x:v>0</x:v>
      </x:c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 t="n">
        <x:v>58</x:v>
      </x:c>
      <x:c r="B61" s="82"/>
      <x:c r="C61" s="82"/>
      <x:c r="D61" s="82" t="n">
        <x:v>0</x:v>
      </x:c>
      <x:c r="E61" s="82" t="n">
        <x:v>1</x:v>
      </x:c>
      <x:c r="F61" s="83" t="n">
        <x:f>IF(OR(B61="",C61="",D61=0),0,INDEX(Event_Table!$D$2:$J$17,MATCH(C61,Event_Table!$A$2:$A$17,0),MATCH(B61,Event_Table!$D$1:$J$1,0))*D61*E61)</x:f>
        <x:v>0</x:v>
      </x:c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 t="n">
        <x:v>59</x:v>
      </x:c>
      <x:c r="B62" s="82"/>
      <x:c r="C62" s="82"/>
      <x:c r="D62" s="82" t="n">
        <x:v>0</x:v>
      </x:c>
      <x:c r="E62" s="82" t="n">
        <x:v>1</x:v>
      </x:c>
      <x:c r="F62" s="83" t="n">
        <x:f>IF(OR(B62="",C62="",D62=0),0,INDEX(Event_Table!$D$2:$J$17,MATCH(C62,Event_Table!$A$2:$A$17,0),MATCH(B62,Event_Table!$D$1:$J$1,0))*D62*E62)</x:f>
        <x:v>0</x:v>
      </x:c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 t="n">
        <x:v>60</x:v>
      </x:c>
      <x:c r="B63" s="82"/>
      <x:c r="C63" s="82"/>
      <x:c r="D63" s="82" t="n">
        <x:v>0</x:v>
      </x:c>
      <x:c r="E63" s="82" t="n">
        <x:v>1</x:v>
      </x:c>
      <x:c r="F63" s="83" t="n">
        <x:f>IF(OR(B63="",C63="",D63=0),0,INDEX(Event_Table!$D$2:$J$17,MATCH(C63,Event_Table!$A$2:$A$17,0),MATCH(B63,Event_Table!$D$1:$J$1,0))*D63*E63)</x:f>
        <x:v>0</x:v>
      </x:c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 t="n">
        <x:v>61</x:v>
      </x:c>
      <x:c r="B64" s="82"/>
      <x:c r="C64" s="82"/>
      <x:c r="D64" s="82" t="n">
        <x:v>0</x:v>
      </x:c>
      <x:c r="E64" s="82" t="n">
        <x:v>1</x:v>
      </x:c>
      <x:c r="F64" s="83" t="n">
        <x:f>IF(OR(B64="",C64="",D64=0),0,INDEX(Event_Table!$D$2:$J$17,MATCH(C64,Event_Table!$A$2:$A$17,0),MATCH(B64,Event_Table!$D$1:$J$1,0))*D64*E64)</x:f>
        <x:v>0</x:v>
      </x:c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 t="n">
        <x:v>62</x:v>
      </x:c>
      <x:c r="B65" s="82"/>
      <x:c r="C65" s="82"/>
      <x:c r="D65" s="82" t="n">
        <x:v>0</x:v>
      </x:c>
      <x:c r="E65" s="82" t="n">
        <x:v>1</x:v>
      </x:c>
      <x:c r="F65" s="83" t="n">
        <x:f>IF(OR(B65="",C65="",D65=0),0,INDEX(Event_Table!$D$2:$J$17,MATCH(C65,Event_Table!$A$2:$A$17,0),MATCH(B65,Event_Table!$D$1:$J$1,0))*D65*E65)</x:f>
        <x:v>0</x:v>
      </x:c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 t="n">
        <x:v>63</x:v>
      </x:c>
      <x:c r="B66" s="82"/>
      <x:c r="C66" s="82"/>
      <x:c r="D66" s="82" t="n">
        <x:v>0</x:v>
      </x:c>
      <x:c r="E66" s="82" t="n">
        <x:v>1</x:v>
      </x:c>
      <x:c r="F66" s="83" t="n">
        <x:f>IF(OR(B66="",C66="",D66=0),0,INDEX(Event_Table!$D$2:$J$17,MATCH(C66,Event_Table!$A$2:$A$17,0),MATCH(B66,Event_Table!$D$1:$J$1,0))*D66*E66)</x:f>
        <x:v>0</x:v>
      </x:c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 t="n">
        <x:v>64</x:v>
      </x:c>
      <x:c r="B67" s="82"/>
      <x:c r="C67" s="82"/>
      <x:c r="D67" s="82" t="n">
        <x:v>0</x:v>
      </x:c>
      <x:c r="E67" s="82" t="n">
        <x:v>1</x:v>
      </x:c>
      <x:c r="F67" s="83" t="n">
        <x:f>IF(OR(B67="",C67="",D67=0),0,INDEX(Event_Table!$D$2:$J$17,MATCH(C67,Event_Table!$A$2:$A$17,0),MATCH(B67,Event_Table!$D$1:$J$1,0))*D67*E67)</x:f>
        <x:v>0</x:v>
      </x:c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 t="n">
        <x:v>65</x:v>
      </x:c>
      <x:c r="B68" s="82"/>
      <x:c r="C68" s="82"/>
      <x:c r="D68" s="82" t="n">
        <x:v>0</x:v>
      </x:c>
      <x:c r="E68" s="82" t="n">
        <x:v>1</x:v>
      </x:c>
      <x:c r="F68" s="83" t="n">
        <x:f>IF(OR(B68="",C68="",D68=0),0,INDEX(Event_Table!$D$2:$J$17,MATCH(C68,Event_Table!$A$2:$A$17,0),MATCH(B68,Event_Table!$D$1:$J$1,0))*D68*E68)</x:f>
        <x:v>0</x:v>
      </x:c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 t="n">
        <x:v>66</x:v>
      </x:c>
      <x:c r="B69" s="82"/>
      <x:c r="C69" s="82"/>
      <x:c r="D69" s="82" t="n">
        <x:v>0</x:v>
      </x:c>
      <x:c r="E69" s="82" t="n">
        <x:v>1</x:v>
      </x:c>
      <x:c r="F69" s="83" t="n">
        <x:f>IF(OR(B69="",C69="",D69=0),0,INDEX(Event_Table!$D$2:$J$17,MATCH(C69,Event_Table!$A$2:$A$17,0),MATCH(B69,Event_Table!$D$1:$J$1,0))*D69*E69)</x:f>
        <x:v>0</x:v>
      </x:c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 t="n">
        <x:v>67</x:v>
      </x:c>
      <x:c r="B70" s="82"/>
      <x:c r="C70" s="82"/>
      <x:c r="D70" s="82" t="n">
        <x:v>0</x:v>
      </x:c>
      <x:c r="E70" s="82" t="n">
        <x:v>1</x:v>
      </x:c>
      <x:c r="F70" s="83" t="n">
        <x:f>IF(OR(B70="",C70="",D70=0),0,INDEX(Event_Table!$D$2:$J$17,MATCH(C70,Event_Table!$A$2:$A$17,0),MATCH(B70,Event_Table!$D$1:$J$1,0))*D70*E70)</x:f>
        <x:v>0</x:v>
      </x:c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 t="n">
        <x:v>68</x:v>
      </x:c>
      <x:c r="B71" s="82"/>
      <x:c r="C71" s="82"/>
      <x:c r="D71" s="82" t="n">
        <x:v>0</x:v>
      </x:c>
      <x:c r="E71" s="82" t="n">
        <x:v>1</x:v>
      </x:c>
      <x:c r="F71" s="83" t="n">
        <x:f>IF(OR(B71="",C71="",D71=0),0,INDEX(Event_Table!$D$2:$J$17,MATCH(C71,Event_Table!$A$2:$A$17,0),MATCH(B71,Event_Table!$D$1:$J$1,0))*D71*E71)</x:f>
        <x:v>0</x:v>
      </x:c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 t="n">
        <x:v>69</x:v>
      </x:c>
      <x:c r="B72" s="82"/>
      <x:c r="C72" s="82"/>
      <x:c r="D72" s="82" t="n">
        <x:v>0</x:v>
      </x:c>
      <x:c r="E72" s="82" t="n">
        <x:v>1</x:v>
      </x:c>
      <x:c r="F72" s="83" t="n">
        <x:f>IF(OR(B72="",C72="",D72=0),0,INDEX(Event_Table!$D$2:$J$17,MATCH(C72,Event_Table!$A$2:$A$17,0),MATCH(B72,Event_Table!$D$1:$J$1,0))*D72*E72)</x:f>
        <x:v>0</x:v>
      </x:c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 t="n">
        <x:v>70</x:v>
      </x:c>
      <x:c r="B73" s="82"/>
      <x:c r="C73" s="82"/>
      <x:c r="D73" s="82" t="n">
        <x:v>0</x:v>
      </x:c>
      <x:c r="E73" s="82" t="n">
        <x:v>1</x:v>
      </x:c>
      <x:c r="F73" s="83" t="n">
        <x:f>IF(OR(B73="",C73="",D73=0),0,INDEX(Event_Table!$D$2:$J$17,MATCH(C73,Event_Table!$A$2:$A$17,0),MATCH(B73,Event_Table!$D$1:$J$1,0))*D73*E73)</x:f>
        <x:v>0</x:v>
      </x:c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 t="n">
        <x:v>71</x:v>
      </x:c>
      <x:c r="B74" s="82"/>
      <x:c r="C74" s="82"/>
      <x:c r="D74" s="82" t="n">
        <x:v>0</x:v>
      </x:c>
      <x:c r="E74" s="82" t="n">
        <x:v>1</x:v>
      </x:c>
      <x:c r="F74" s="83" t="n">
        <x:f>IF(OR(B74="",C74="",D74=0),0,INDEX(Event_Table!$D$2:$J$17,MATCH(C74,Event_Table!$A$2:$A$17,0),MATCH(B74,Event_Table!$D$1:$J$1,0))*D74*E74)</x:f>
        <x:v>0</x:v>
      </x:c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 t="n">
        <x:v>72</x:v>
      </x:c>
      <x:c r="B75" s="82"/>
      <x:c r="C75" s="82"/>
      <x:c r="D75" s="82" t="n">
        <x:v>0</x:v>
      </x:c>
      <x:c r="E75" s="82" t="n">
        <x:v>1</x:v>
      </x:c>
      <x:c r="F75" s="83" t="n">
        <x:f>IF(OR(B75="",C75="",D75=0),0,INDEX(Event_Table!$D$2:$J$17,MATCH(C75,Event_Table!$A$2:$A$17,0),MATCH(B75,Event_Table!$D$1:$J$1,0))*D75*E75)</x:f>
        <x:v>0</x:v>
      </x:c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 t="n">
        <x:v>73</x:v>
      </x:c>
      <x:c r="B76" s="82"/>
      <x:c r="C76" s="82"/>
      <x:c r="D76" s="82" t="n">
        <x:v>0</x:v>
      </x:c>
      <x:c r="E76" s="82" t="n">
        <x:v>1</x:v>
      </x:c>
      <x:c r="F76" s="83" t="n">
        <x:f>IF(OR(B76="",C76="",D76=0),0,INDEX(Event_Table!$D$2:$J$17,MATCH(C76,Event_Table!$A$2:$A$17,0),MATCH(B76,Event_Table!$D$1:$J$1,0))*D76*E76)</x:f>
        <x:v>0</x:v>
      </x:c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 t="n">
        <x:v>74</x:v>
      </x:c>
      <x:c r="B77" s="82"/>
      <x:c r="C77" s="82"/>
      <x:c r="D77" s="82" t="n">
        <x:v>0</x:v>
      </x:c>
      <x:c r="E77" s="82" t="n">
        <x:v>1</x:v>
      </x:c>
      <x:c r="F77" s="83" t="n">
        <x:f>IF(OR(B77="",C77="",D77=0),0,INDEX(Event_Table!$D$2:$J$17,MATCH(C77,Event_Table!$A$2:$A$17,0),MATCH(B77,Event_Table!$D$1:$J$1,0))*D77*E77)</x:f>
        <x:v>0</x:v>
      </x:c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 t="n">
        <x:v>75</x:v>
      </x:c>
      <x:c r="B78" s="82"/>
      <x:c r="C78" s="82"/>
      <x:c r="D78" s="82" t="n">
        <x:v>0</x:v>
      </x:c>
      <x:c r="E78" s="82" t="n">
        <x:v>1</x:v>
      </x:c>
      <x:c r="F78" s="83" t="n">
        <x:f>IF(OR(B78="",C78="",D78=0),0,INDEX(Event_Table!$D$2:$J$17,MATCH(C78,Event_Table!$A$2:$A$17,0),MATCH(B78,Event_Table!$D$1:$J$1,0))*D78*E78)</x:f>
        <x:v>0</x:v>
      </x:c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 t="n">
        <x:v>76</x:v>
      </x:c>
      <x:c r="B79" s="82"/>
      <x:c r="C79" s="82"/>
      <x:c r="D79" s="82" t="n">
        <x:v>0</x:v>
      </x:c>
      <x:c r="E79" s="82" t="n">
        <x:v>1</x:v>
      </x:c>
      <x:c r="F79" s="83" t="n">
        <x:f>IF(OR(B79="",C79="",D79=0),0,INDEX(Event_Table!$D$2:$J$17,MATCH(C79,Event_Table!$A$2:$A$17,0),MATCH(B79,Event_Table!$D$1:$J$1,0))*D79*E79)</x:f>
        <x:v>0</x:v>
      </x:c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 t="n">
        <x:v>77</x:v>
      </x:c>
      <x:c r="B80" s="82"/>
      <x:c r="C80" s="82"/>
      <x:c r="D80" s="82" t="n">
        <x:v>0</x:v>
      </x:c>
      <x:c r="E80" s="82" t="n">
        <x:v>1</x:v>
      </x:c>
      <x:c r="F80" s="83" t="n">
        <x:f>IF(OR(B80="",C80="",D80=0),0,INDEX(Event_Table!$D$2:$J$17,MATCH(C80,Event_Table!$A$2:$A$17,0),MATCH(B80,Event_Table!$D$1:$J$1,0))*D80*E80)</x:f>
        <x:v>0</x:v>
      </x:c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 t="n">
        <x:v>78</x:v>
      </x:c>
      <x:c r="B81" s="82"/>
      <x:c r="C81" s="82"/>
      <x:c r="D81" s="82" t="n">
        <x:v>0</x:v>
      </x:c>
      <x:c r="E81" s="82" t="n">
        <x:v>1</x:v>
      </x:c>
      <x:c r="F81" s="83" t="n">
        <x:f>IF(OR(B81="",C81="",D81=0),0,INDEX(Event_Table!$D$2:$J$17,MATCH(C81,Event_Table!$A$2:$A$17,0),MATCH(B81,Event_Table!$D$1:$J$1,0))*D81*E81)</x:f>
        <x:v>0</x:v>
      </x:c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 t="n">
        <x:v>79</x:v>
      </x:c>
      <x:c r="B82" s="82"/>
      <x:c r="C82" s="82"/>
      <x:c r="D82" s="82" t="n">
        <x:v>0</x:v>
      </x:c>
      <x:c r="E82" s="82" t="n">
        <x:v>1</x:v>
      </x:c>
      <x:c r="F82" s="83" t="n">
        <x:f>IF(OR(B82="",C82="",D82=0),0,INDEX(Event_Table!$D$2:$J$17,MATCH(C82,Event_Table!$A$2:$A$17,0),MATCH(B82,Event_Table!$D$1:$J$1,0))*D82*E82)</x:f>
        <x:v>0</x:v>
      </x:c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 t="n">
        <x:v>80</x:v>
      </x:c>
      <x:c r="B83" s="82"/>
      <x:c r="C83" s="82"/>
      <x:c r="D83" s="82" t="n">
        <x:v>0</x:v>
      </x:c>
      <x:c r="E83" s="82" t="n">
        <x:v>1</x:v>
      </x:c>
      <x:c r="F83" s="83" t="n">
        <x:f>IF(OR(B83="",C83="",D83=0),0,INDEX(Event_Table!$D$2:$J$17,MATCH(C83,Event_Table!$A$2:$A$17,0),MATCH(B83,Event_Table!$D$1:$J$1,0))*D83*E83)</x:f>
        <x:v>0</x:v>
      </x:c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 t="n">
        <x:v>81</x:v>
      </x:c>
      <x:c r="B84" s="82"/>
      <x:c r="C84" s="82"/>
      <x:c r="D84" s="82" t="n">
        <x:v>0</x:v>
      </x:c>
      <x:c r="E84" s="82" t="n">
        <x:v>1</x:v>
      </x:c>
      <x:c r="F84" s="83" t="n">
        <x:f>IF(OR(B84="",C84="",D84=0),0,INDEX(Event_Table!$D$2:$J$17,MATCH(C84,Event_Table!$A$2:$A$17,0),MATCH(B84,Event_Table!$D$1:$J$1,0))*D84*E84)</x:f>
        <x:v>0</x:v>
      </x:c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 t="n">
        <x:v>82</x:v>
      </x:c>
      <x:c r="B85" s="82"/>
      <x:c r="C85" s="82"/>
      <x:c r="D85" s="82" t="n">
        <x:v>0</x:v>
      </x:c>
      <x:c r="E85" s="82" t="n">
        <x:v>1</x:v>
      </x:c>
      <x:c r="F85" s="83" t="n">
        <x:f>IF(OR(B85="",C85="",D85=0),0,INDEX(Event_Table!$D$2:$J$17,MATCH(C85,Event_Table!$A$2:$A$17,0),MATCH(B85,Event_Table!$D$1:$J$1,0))*D85*E85)</x:f>
        <x:v>0</x:v>
      </x:c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 t="n">
        <x:v>83</x:v>
      </x:c>
      <x:c r="B86" s="82"/>
      <x:c r="C86" s="82"/>
      <x:c r="D86" s="82" t="n">
        <x:v>0</x:v>
      </x:c>
      <x:c r="E86" s="82" t="n">
        <x:v>1</x:v>
      </x:c>
      <x:c r="F86" s="83" t="n">
        <x:f>IF(OR(B86="",C86="",D86=0),0,INDEX(Event_Table!$D$2:$J$17,MATCH(C86,Event_Table!$A$2:$A$17,0),MATCH(B86,Event_Table!$D$1:$J$1,0))*D86*E86)</x:f>
        <x:v>0</x:v>
      </x:c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 t="n">
        <x:v>84</x:v>
      </x:c>
      <x:c r="B87" s="82"/>
      <x:c r="C87" s="82"/>
      <x:c r="D87" s="82" t="n">
        <x:v>0</x:v>
      </x:c>
      <x:c r="E87" s="82" t="n">
        <x:v>1</x:v>
      </x:c>
      <x:c r="F87" s="83" t="n">
        <x:f>IF(OR(B87="",C87="",D87=0),0,INDEX(Event_Table!$D$2:$J$17,MATCH(C87,Event_Table!$A$2:$A$17,0),MATCH(B87,Event_Table!$D$1:$J$1,0))*D87*E87)</x:f>
        <x:v>0</x:v>
      </x:c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 t="n">
        <x:v>85</x:v>
      </x:c>
      <x:c r="B88" s="82"/>
      <x:c r="C88" s="82"/>
      <x:c r="D88" s="82" t="n">
        <x:v>0</x:v>
      </x:c>
      <x:c r="E88" s="82" t="n">
        <x:v>1</x:v>
      </x:c>
      <x:c r="F88" s="83" t="n">
        <x:f>IF(OR(B88="",C88="",D88=0),0,INDEX(Event_Table!$D$2:$J$17,MATCH(C88,Event_Table!$A$2:$A$17,0),MATCH(B88,Event_Table!$D$1:$J$1,0))*D88*E88)</x:f>
        <x:v>0</x:v>
      </x:c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 t="n">
        <x:v>86</x:v>
      </x:c>
      <x:c r="B89" s="82"/>
      <x:c r="C89" s="82"/>
      <x:c r="D89" s="82" t="n">
        <x:v>0</x:v>
      </x:c>
      <x:c r="E89" s="82" t="n">
        <x:v>1</x:v>
      </x:c>
      <x:c r="F89" s="83" t="n">
        <x:f>IF(OR(B89="",C89="",D89=0),0,INDEX(Event_Table!$D$2:$J$17,MATCH(C89,Event_Table!$A$2:$A$17,0),MATCH(B89,Event_Table!$D$1:$J$1,0))*D89*E89)</x:f>
        <x:v>0</x:v>
      </x:c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 t="n">
        <x:v>87</x:v>
      </x:c>
      <x:c r="B90" s="82"/>
      <x:c r="C90" s="82"/>
      <x:c r="D90" s="82" t="n">
        <x:v>0</x:v>
      </x:c>
      <x:c r="E90" s="82" t="n">
        <x:v>1</x:v>
      </x:c>
      <x:c r="F90" s="83" t="n">
        <x:f>IF(OR(B90="",C90="",D90=0),0,INDEX(Event_Table!$D$2:$J$17,MATCH(C90,Event_Table!$A$2:$A$17,0),MATCH(B90,Event_Table!$D$1:$J$1,0))*D90*E90)</x:f>
        <x:v>0</x:v>
      </x:c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 t="n">
        <x:v>88</x:v>
      </x:c>
      <x:c r="B91" s="82"/>
      <x:c r="C91" s="82"/>
      <x:c r="D91" s="82" t="n">
        <x:v>0</x:v>
      </x:c>
      <x:c r="E91" s="82" t="n">
        <x:v>1</x:v>
      </x:c>
      <x:c r="F91" s="83" t="n">
        <x:f>IF(OR(B91="",C91="",D91=0),0,INDEX(Event_Table!$D$2:$J$17,MATCH(C91,Event_Table!$A$2:$A$17,0),MATCH(B91,Event_Table!$D$1:$J$1,0))*D91*E91)</x:f>
        <x:v>0</x:v>
      </x:c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 t="n">
        <x:v>89</x:v>
      </x:c>
      <x:c r="B92" s="82"/>
      <x:c r="C92" s="82"/>
      <x:c r="D92" s="82" t="n">
        <x:v>0</x:v>
      </x:c>
      <x:c r="E92" s="82" t="n">
        <x:v>1</x:v>
      </x:c>
      <x:c r="F92" s="83" t="n">
        <x:f>IF(OR(B92="",C92="",D92=0),0,INDEX(Event_Table!$D$2:$J$17,MATCH(C92,Event_Table!$A$2:$A$17,0),MATCH(B92,Event_Table!$D$1:$J$1,0))*D92*E92)</x:f>
        <x:v>0</x:v>
      </x:c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 t="n">
        <x:v>90</x:v>
      </x:c>
      <x:c r="B93" s="82"/>
      <x:c r="C93" s="82"/>
      <x:c r="D93" s="82" t="n">
        <x:v>0</x:v>
      </x:c>
      <x:c r="E93" s="82" t="n">
        <x:v>1</x:v>
      </x:c>
      <x:c r="F93" s="83" t="n">
        <x:f>IF(OR(B93="",C93="",D93=0),0,INDEX(Event_Table!$D$2:$J$17,MATCH(C93,Event_Table!$A$2:$A$17,0),MATCH(B93,Event_Table!$D$1:$J$1,0))*D93*E93)</x:f>
        <x:v>0</x:v>
      </x:c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 t="n">
        <x:v>91</x:v>
      </x:c>
      <x:c r="B94" s="82"/>
      <x:c r="C94" s="82"/>
      <x:c r="D94" s="82" t="n">
        <x:v>0</x:v>
      </x:c>
      <x:c r="E94" s="82" t="n">
        <x:v>1</x:v>
      </x:c>
      <x:c r="F94" s="83" t="n">
        <x:f>IF(OR(B94="",C94="",D94=0),0,INDEX(Event_Table!$D$2:$J$17,MATCH(C94,Event_Table!$A$2:$A$17,0),MATCH(B94,Event_Table!$D$1:$J$1,0))*D94*E94)</x:f>
        <x:v>0</x:v>
      </x:c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 t="n">
        <x:v>92</x:v>
      </x:c>
      <x:c r="B95" s="82"/>
      <x:c r="C95" s="82"/>
      <x:c r="D95" s="82" t="n">
        <x:v>0</x:v>
      </x:c>
      <x:c r="E95" s="82" t="n">
        <x:v>1</x:v>
      </x:c>
      <x:c r="F95" s="83" t="n">
        <x:f>IF(OR(B95="",C95="",D95=0),0,INDEX(Event_Table!$D$2:$J$17,MATCH(C95,Event_Table!$A$2:$A$17,0),MATCH(B95,Event_Table!$D$1:$J$1,0))*D95*E95)</x:f>
        <x:v>0</x:v>
      </x:c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 t="n">
        <x:v>93</x:v>
      </x:c>
      <x:c r="B96" s="82"/>
      <x:c r="C96" s="82"/>
      <x:c r="D96" s="82" t="n">
        <x:v>0</x:v>
      </x:c>
      <x:c r="E96" s="82" t="n">
        <x:v>1</x:v>
      </x:c>
      <x:c r="F96" s="83" t="n">
        <x:f>IF(OR(B96="",C96="",D96=0),0,INDEX(Event_Table!$D$2:$J$17,MATCH(C96,Event_Table!$A$2:$A$17,0),MATCH(B96,Event_Table!$D$1:$J$1,0))*D96*E96)</x:f>
        <x:v>0</x:v>
      </x:c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 t="n">
        <x:v>94</x:v>
      </x:c>
      <x:c r="B97" s="82"/>
      <x:c r="C97" s="82"/>
      <x:c r="D97" s="82" t="n">
        <x:v>0</x:v>
      </x:c>
      <x:c r="E97" s="82" t="n">
        <x:v>1</x:v>
      </x:c>
      <x:c r="F97" s="83" t="n">
        <x:f>IF(OR(B97="",C97="",D97=0),0,INDEX(Event_Table!$D$2:$J$17,MATCH(C97,Event_Table!$A$2:$A$17,0),MATCH(B97,Event_Table!$D$1:$J$1,0))*D97*E97)</x:f>
        <x:v>0</x:v>
      </x:c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 t="n">
        <x:v>95</x:v>
      </x:c>
      <x:c r="B98" s="82"/>
      <x:c r="C98" s="82"/>
      <x:c r="D98" s="82" t="n">
        <x:v>0</x:v>
      </x:c>
      <x:c r="E98" s="82" t="n">
        <x:v>1</x:v>
      </x:c>
      <x:c r="F98" s="83" t="n">
        <x:f>IF(OR(B98="",C98="",D98=0),0,INDEX(Event_Table!$D$2:$J$17,MATCH(C98,Event_Table!$A$2:$A$17,0),MATCH(B98,Event_Table!$D$1:$J$1,0))*D98*E98)</x:f>
        <x:v>0</x:v>
      </x:c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 t="n">
        <x:v>96</x:v>
      </x:c>
      <x:c r="B99" s="82"/>
      <x:c r="C99" s="82"/>
      <x:c r="D99" s="82" t="n">
        <x:v>0</x:v>
      </x:c>
      <x:c r="E99" s="82" t="n">
        <x:v>1</x:v>
      </x:c>
      <x:c r="F99" s="83" t="n">
        <x:f>IF(OR(B99="",C99="",D99=0),0,INDEX(Event_Table!$D$2:$J$17,MATCH(C99,Event_Table!$A$2:$A$17,0),MATCH(B99,Event_Table!$D$1:$J$1,0))*D99*E99)</x:f>
        <x:v>0</x:v>
      </x:c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 t="n">
        <x:v>97</x:v>
      </x:c>
      <x:c r="B100" s="82"/>
      <x:c r="C100" s="82"/>
      <x:c r="D100" s="82" t="n">
        <x:v>0</x:v>
      </x:c>
      <x:c r="E100" s="82" t="n">
        <x:v>1</x:v>
      </x:c>
      <x:c r="F100" s="83" t="n">
        <x:f>IF(OR(B100="",C100="",D100=0),0,INDEX(Event_Table!$D$2:$J$17,MATCH(C100,Event_Table!$A$2:$A$17,0),MATCH(B100,Event_Table!$D$1:$J$1,0))*D100*E100)</x:f>
        <x:v>0</x:v>
      </x:c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 t="n">
        <x:v>98</x:v>
      </x:c>
      <x:c r="B101" s="82"/>
      <x:c r="C101" s="82"/>
      <x:c r="D101" s="82" t="n">
        <x:v>0</x:v>
      </x:c>
      <x:c r="E101" s="82" t="n">
        <x:v>1</x:v>
      </x:c>
      <x:c r="F101" s="83" t="n">
        <x:f>IF(OR(B101="",C101="",D101=0),0,INDEX(Event_Table!$D$2:$J$17,MATCH(C101,Event_Table!$A$2:$A$17,0),MATCH(B101,Event_Table!$D$1:$J$1,0))*D101*E101)</x:f>
        <x:v>0</x:v>
      </x:c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 t="n">
        <x:v>99</x:v>
      </x:c>
      <x:c r="B102" s="82"/>
      <x:c r="C102" s="82"/>
      <x:c r="D102" s="82" t="n">
        <x:v>0</x:v>
      </x:c>
      <x:c r="E102" s="82" t="n">
        <x:v>1</x:v>
      </x:c>
      <x:c r="F102" s="83" t="n">
        <x:f>IF(OR(B102="",C102="",D102=0),0,INDEX(Event_Table!$D$2:$J$17,MATCH(C102,Event_Table!$A$2:$A$17,0),MATCH(B102,Event_Table!$D$1:$J$1,0))*D102*E102)</x:f>
        <x:v>0</x:v>
      </x:c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 t="n">
        <x:v>100</x:v>
      </x:c>
      <x:c r="B103" s="82"/>
      <x:c r="C103" s="82"/>
      <x:c r="D103" s="82" t="n">
        <x:v>0</x:v>
      </x:c>
      <x:c r="E103" s="82" t="n">
        <x:v>1</x:v>
      </x:c>
      <x:c r="F103" s="83" t="n">
        <x:f>IF(OR(B103="",C103="",D103=0),0,INDEX(Event_Table!$D$2:$J$17,MATCH(C103,Event_Table!$A$2:$A$17,0),MATCH(B103,Event_Table!$D$1:$J$1,0))*D103*E103)</x:f>
        <x:v>0</x:v>
      </x:c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dataValidations count="200">
    <x:dataValidation type="list" sqref="B4">
      <x:formula1>"Attraction,Trust,Comfort,Affection,Intimacy,Jealousy,Conflict"</x:formula1>
    </x:dataValidation>
    <x:dataValidation type="list" sqref="C4">
      <x:formula1>Event_Table!$A$2:$A$17</x:formula1>
    </x:dataValidation>
    <x:dataValidation type="list" sqref="B5">
      <x:formula1>"Attraction,Trust,Comfort,Affection,Intimacy,Jealousy,Conflict"</x:formula1>
    </x:dataValidation>
    <x:dataValidation type="list" sqref="C5">
      <x:formula1>Event_Table!$A$2:$A$17</x:formula1>
    </x:dataValidation>
    <x:dataValidation type="list" sqref="B6">
      <x:formula1>"Attraction,Trust,Comfort,Affection,Intimacy,Jealousy,Conflict"</x:formula1>
    </x:dataValidation>
    <x:dataValidation type="list" sqref="C6">
      <x:formula1>Event_Table!$A$2:$A$17</x:formula1>
    </x:dataValidation>
    <x:dataValidation type="list" sqref="B7">
      <x:formula1>"Attraction,Trust,Comfort,Affection,Intimacy,Jealousy,Conflict"</x:formula1>
    </x:dataValidation>
    <x:dataValidation type="list" sqref="C7">
      <x:formula1>Event_Table!$A$2:$A$17</x:formula1>
    </x:dataValidation>
    <x:dataValidation type="list" sqref="B8">
      <x:formula1>"Attraction,Trust,Comfort,Affection,Intimacy,Jealousy,Conflict"</x:formula1>
    </x:dataValidation>
    <x:dataValidation type="list" sqref="C8">
      <x:formula1>Event_Table!$A$2:$A$17</x:formula1>
    </x:dataValidation>
    <x:dataValidation type="list" sqref="B9">
      <x:formula1>"Attraction,Trust,Comfort,Affection,Intimacy,Jealousy,Conflict"</x:formula1>
    </x:dataValidation>
    <x:dataValidation type="list" sqref="C9">
      <x:formula1>Event_Table!$A$2:$A$17</x:formula1>
    </x:dataValidation>
    <x:dataValidation type="list" sqref="B10">
      <x:formula1>"Attraction,Trust,Comfort,Affection,Intimacy,Jealousy,Conflict"</x:formula1>
    </x:dataValidation>
    <x:dataValidation type="list" sqref="C10">
      <x:formula1>Event_Table!$A$2:$A$17</x:formula1>
    </x:dataValidation>
    <x:dataValidation type="list" sqref="B11">
      <x:formula1>"Attraction,Trust,Comfort,Affection,Intimacy,Jealousy,Conflict"</x:formula1>
    </x:dataValidation>
    <x:dataValidation type="list" sqref="C11">
      <x:formula1>Event_Table!$A$2:$A$17</x:formula1>
    </x:dataValidation>
    <x:dataValidation type="list" sqref="B12">
      <x:formula1>"Attraction,Trust,Comfort,Affection,Intimacy,Jealousy,Conflict"</x:formula1>
    </x:dataValidation>
    <x:dataValidation type="list" sqref="C12">
      <x:formula1>Event_Table!$A$2:$A$17</x:formula1>
    </x:dataValidation>
    <x:dataValidation type="list" sqref="B13">
      <x:formula1>"Attraction,Trust,Comfort,Affection,Intimacy,Jealousy,Conflict"</x:formula1>
    </x:dataValidation>
    <x:dataValidation type="list" sqref="C13">
      <x:formula1>Event_Table!$A$2:$A$17</x:formula1>
    </x:dataValidation>
    <x:dataValidation type="list" sqref="B14">
      <x:formula1>"Attraction,Trust,Comfort,Affection,Intimacy,Jealousy,Conflict"</x:formula1>
    </x:dataValidation>
    <x:dataValidation type="list" sqref="C14">
      <x:formula1>Event_Table!$A$2:$A$17</x:formula1>
    </x:dataValidation>
    <x:dataValidation type="list" sqref="B15">
      <x:formula1>"Attraction,Trust,Comfort,Affection,Intimacy,Jealousy,Conflict"</x:formula1>
    </x:dataValidation>
    <x:dataValidation type="list" sqref="C15">
      <x:formula1>Event_Table!$A$2:$A$17</x:formula1>
    </x:dataValidation>
    <x:dataValidation type="list" sqref="B16">
      <x:formula1>"Attraction,Trust,Comfort,Affection,Intimacy,Jealousy,Conflict"</x:formula1>
    </x:dataValidation>
    <x:dataValidation type="list" sqref="C16">
      <x:formula1>Event_Table!$A$2:$A$17</x:formula1>
    </x:dataValidation>
    <x:dataValidation type="list" sqref="B17">
      <x:formula1>"Attraction,Trust,Comfort,Affection,Intimacy,Jealousy,Conflict"</x:formula1>
    </x:dataValidation>
    <x:dataValidation type="list" sqref="C17">
      <x:formula1>Event_Table!$A$2:$A$17</x:formula1>
    </x:dataValidation>
    <x:dataValidation type="list" sqref="B18">
      <x:formula1>"Attraction,Trust,Comfort,Affection,Intimacy,Jealousy,Conflict"</x:formula1>
    </x:dataValidation>
    <x:dataValidation type="list" sqref="C18">
      <x:formula1>Event_Table!$A$2:$A$17</x:formula1>
    </x:dataValidation>
    <x:dataValidation type="list" sqref="B19">
      <x:formula1>"Attraction,Trust,Comfort,Affection,Intimacy,Jealousy,Conflict"</x:formula1>
    </x:dataValidation>
    <x:dataValidation type="list" sqref="C19">
      <x:formula1>Event_Table!$A$2:$A$17</x:formula1>
    </x:dataValidation>
    <x:dataValidation type="list" sqref="B20">
      <x:formula1>"Attraction,Trust,Comfort,Affection,Intimacy,Jealousy,Conflict"</x:formula1>
    </x:dataValidation>
    <x:dataValidation type="list" sqref="C20">
      <x:formula1>Event_Table!$A$2:$A$17</x:formula1>
    </x:dataValidation>
    <x:dataValidation type="list" sqref="B21">
      <x:formula1>"Attraction,Trust,Comfort,Affection,Intimacy,Jealousy,Conflict"</x:formula1>
    </x:dataValidation>
    <x:dataValidation type="list" sqref="C21">
      <x:formula1>Event_Table!$A$2:$A$17</x:formula1>
    </x:dataValidation>
    <x:dataValidation type="list" sqref="B22">
      <x:formula1>"Attraction,Trust,Comfort,Affection,Intimacy,Jealousy,Conflict"</x:formula1>
    </x:dataValidation>
    <x:dataValidation type="list" sqref="C22">
      <x:formula1>Event_Table!$A$2:$A$17</x:formula1>
    </x:dataValidation>
    <x:dataValidation type="list" sqref="B23">
      <x:formula1>"Attraction,Trust,Comfort,Affection,Intimacy,Jealousy,Conflict"</x:formula1>
    </x:dataValidation>
    <x:dataValidation type="list" sqref="C23">
      <x:formula1>Event_Table!$A$2:$A$17</x:formula1>
    </x:dataValidation>
    <x:dataValidation type="list" sqref="B24">
      <x:formula1>"Attraction,Trust,Comfort,Affection,Intimacy,Jealousy,Conflict"</x:formula1>
    </x:dataValidation>
    <x:dataValidation type="list" sqref="C24">
      <x:formula1>Event_Table!$A$2:$A$17</x:formula1>
    </x:dataValidation>
    <x:dataValidation type="list" sqref="B25">
      <x:formula1>"Attraction,Trust,Comfort,Affection,Intimacy,Jealousy,Conflict"</x:formula1>
    </x:dataValidation>
    <x:dataValidation type="list" sqref="C25">
      <x:formula1>Event_Table!$A$2:$A$17</x:formula1>
    </x:dataValidation>
    <x:dataValidation type="list" sqref="B26">
      <x:formula1>"Attraction,Trust,Comfort,Affection,Intimacy,Jealousy,Conflict"</x:formula1>
    </x:dataValidation>
    <x:dataValidation type="list" sqref="C26">
      <x:formula1>Event_Table!$A$2:$A$17</x:formula1>
    </x:dataValidation>
    <x:dataValidation type="list" sqref="B27">
      <x:formula1>"Attraction,Trust,Comfort,Affection,Intimacy,Jealousy,Conflict"</x:formula1>
    </x:dataValidation>
    <x:dataValidation type="list" sqref="C27">
      <x:formula1>Event_Table!$A$2:$A$17</x:formula1>
    </x:dataValidation>
    <x:dataValidation type="list" sqref="B28">
      <x:formula1>"Attraction,Trust,Comfort,Affection,Intimacy,Jealousy,Conflict"</x:formula1>
    </x:dataValidation>
    <x:dataValidation type="list" sqref="C28">
      <x:formula1>Event_Table!$A$2:$A$17</x:formula1>
    </x:dataValidation>
    <x:dataValidation type="list" sqref="B29">
      <x:formula1>"Attraction,Trust,Comfort,Affection,Intimacy,Jealousy,Conflict"</x:formula1>
    </x:dataValidation>
    <x:dataValidation type="list" sqref="C29">
      <x:formula1>Event_Table!$A$2:$A$17</x:formula1>
    </x:dataValidation>
    <x:dataValidation type="list" sqref="B30">
      <x:formula1>"Attraction,Trust,Comfort,Affection,Intimacy,Jealousy,Conflict"</x:formula1>
    </x:dataValidation>
    <x:dataValidation type="list" sqref="C30">
      <x:formula1>Event_Table!$A$2:$A$17</x:formula1>
    </x:dataValidation>
    <x:dataValidation type="list" sqref="B31">
      <x:formula1>"Attraction,Trust,Comfort,Affection,Intimacy,Jealousy,Conflict"</x:formula1>
    </x:dataValidation>
    <x:dataValidation type="list" sqref="C31">
      <x:formula1>Event_Table!$A$2:$A$17</x:formula1>
    </x:dataValidation>
    <x:dataValidation type="list" sqref="B32">
      <x:formula1>"Attraction,Trust,Comfort,Affection,Intimacy,Jealousy,Conflict"</x:formula1>
    </x:dataValidation>
    <x:dataValidation type="list" sqref="C32">
      <x:formula1>Event_Table!$A$2:$A$17</x:formula1>
    </x:dataValidation>
    <x:dataValidation type="list" sqref="B33">
      <x:formula1>"Attraction,Trust,Comfort,Affection,Intimacy,Jealousy,Conflict"</x:formula1>
    </x:dataValidation>
    <x:dataValidation type="list" sqref="C33">
      <x:formula1>Event_Table!$A$2:$A$17</x:formula1>
    </x:dataValidation>
    <x:dataValidation type="list" sqref="B34">
      <x:formula1>"Attraction,Trust,Comfort,Affection,Intimacy,Jealousy,Conflict"</x:formula1>
    </x:dataValidation>
    <x:dataValidation type="list" sqref="C34">
      <x:formula1>Event_Table!$A$2:$A$17</x:formula1>
    </x:dataValidation>
    <x:dataValidation type="list" sqref="B35">
      <x:formula1>"Attraction,Trust,Comfort,Affection,Intimacy,Jealousy,Conflict"</x:formula1>
    </x:dataValidation>
    <x:dataValidation type="list" sqref="C35">
      <x:formula1>Event_Table!$A$2:$A$17</x:formula1>
    </x:dataValidation>
    <x:dataValidation type="list" sqref="B36">
      <x:formula1>"Attraction,Trust,Comfort,Affection,Intimacy,Jealousy,Conflict"</x:formula1>
    </x:dataValidation>
    <x:dataValidation type="list" sqref="C36">
      <x:formula1>Event_Table!$A$2:$A$17</x:formula1>
    </x:dataValidation>
    <x:dataValidation type="list" sqref="B37">
      <x:formula1>"Attraction,Trust,Comfort,Affection,Intimacy,Jealousy,Conflict"</x:formula1>
    </x:dataValidation>
    <x:dataValidation type="list" sqref="C37">
      <x:formula1>Event_Table!$A$2:$A$17</x:formula1>
    </x:dataValidation>
    <x:dataValidation type="list" sqref="B38">
      <x:formula1>"Attraction,Trust,Comfort,Affection,Intimacy,Jealousy,Conflict"</x:formula1>
    </x:dataValidation>
    <x:dataValidation type="list" sqref="C38">
      <x:formula1>Event_Table!$A$2:$A$17</x:formula1>
    </x:dataValidation>
    <x:dataValidation type="list" sqref="B39">
      <x:formula1>"Attraction,Trust,Comfort,Affection,Intimacy,Jealousy,Conflict"</x:formula1>
    </x:dataValidation>
    <x:dataValidation type="list" sqref="C39">
      <x:formula1>Event_Table!$A$2:$A$17</x:formula1>
    </x:dataValidation>
    <x:dataValidation type="list" sqref="B40">
      <x:formula1>"Attraction,Trust,Comfort,Affection,Intimacy,Jealousy,Conflict"</x:formula1>
    </x:dataValidation>
    <x:dataValidation type="list" sqref="C40">
      <x:formula1>Event_Table!$A$2:$A$17</x:formula1>
    </x:dataValidation>
    <x:dataValidation type="list" sqref="B41">
      <x:formula1>"Attraction,Trust,Comfort,Affection,Intimacy,Jealousy,Conflict"</x:formula1>
    </x:dataValidation>
    <x:dataValidation type="list" sqref="C41">
      <x:formula1>Event_Table!$A$2:$A$17</x:formula1>
    </x:dataValidation>
    <x:dataValidation type="list" sqref="B42">
      <x:formula1>"Attraction,Trust,Comfort,Affection,Intimacy,Jealousy,Conflict"</x:formula1>
    </x:dataValidation>
    <x:dataValidation type="list" sqref="C42">
      <x:formula1>Event_Table!$A$2:$A$17</x:formula1>
    </x:dataValidation>
    <x:dataValidation type="list" sqref="B43">
      <x:formula1>"Attraction,Trust,Comfort,Affection,Intimacy,Jealousy,Conflict"</x:formula1>
    </x:dataValidation>
    <x:dataValidation type="list" sqref="C43">
      <x:formula1>Event_Table!$A$2:$A$17</x:formula1>
    </x:dataValidation>
    <x:dataValidation type="list" sqref="B44">
      <x:formula1>"Attraction,Trust,Comfort,Affection,Intimacy,Jealousy,Conflict"</x:formula1>
    </x:dataValidation>
    <x:dataValidation type="list" sqref="C44">
      <x:formula1>Event_Table!$A$2:$A$17</x:formula1>
    </x:dataValidation>
    <x:dataValidation type="list" sqref="B45">
      <x:formula1>"Attraction,Trust,Comfort,Affection,Intimacy,Jealousy,Conflict"</x:formula1>
    </x:dataValidation>
    <x:dataValidation type="list" sqref="C45">
      <x:formula1>Event_Table!$A$2:$A$17</x:formula1>
    </x:dataValidation>
    <x:dataValidation type="list" sqref="B46">
      <x:formula1>"Attraction,Trust,Comfort,Affection,Intimacy,Jealousy,Conflict"</x:formula1>
    </x:dataValidation>
    <x:dataValidation type="list" sqref="C46">
      <x:formula1>Event_Table!$A$2:$A$17</x:formula1>
    </x:dataValidation>
    <x:dataValidation type="list" sqref="B47">
      <x:formula1>"Attraction,Trust,Comfort,Affection,Intimacy,Jealousy,Conflict"</x:formula1>
    </x:dataValidation>
    <x:dataValidation type="list" sqref="C47">
      <x:formula1>Event_Table!$A$2:$A$17</x:formula1>
    </x:dataValidation>
    <x:dataValidation type="list" sqref="B48">
      <x:formula1>"Attraction,Trust,Comfort,Affection,Intimacy,Jealousy,Conflict"</x:formula1>
    </x:dataValidation>
    <x:dataValidation type="list" sqref="C48">
      <x:formula1>Event_Table!$A$2:$A$17</x:formula1>
    </x:dataValidation>
    <x:dataValidation type="list" sqref="B49">
      <x:formula1>"Attraction,Trust,Comfort,Affection,Intimacy,Jealousy,Conflict"</x:formula1>
    </x:dataValidation>
    <x:dataValidation type="list" sqref="C49">
      <x:formula1>Event_Table!$A$2:$A$17</x:formula1>
    </x:dataValidation>
    <x:dataValidation type="list" sqref="B50">
      <x:formula1>"Attraction,Trust,Comfort,Affection,Intimacy,Jealousy,Conflict"</x:formula1>
    </x:dataValidation>
    <x:dataValidation type="list" sqref="C50">
      <x:formula1>Event_Table!$A$2:$A$17</x:formula1>
    </x:dataValidation>
    <x:dataValidation type="list" sqref="B51">
      <x:formula1>"Attraction,Trust,Comfort,Affection,Intimacy,Jealousy,Conflict"</x:formula1>
    </x:dataValidation>
    <x:dataValidation type="list" sqref="C51">
      <x:formula1>Event_Table!$A$2:$A$17</x:formula1>
    </x:dataValidation>
    <x:dataValidation type="list" sqref="B52">
      <x:formula1>"Attraction,Trust,Comfort,Affection,Intimacy,Jealousy,Conflict"</x:formula1>
    </x:dataValidation>
    <x:dataValidation type="list" sqref="C52">
      <x:formula1>Event_Table!$A$2:$A$17</x:formula1>
    </x:dataValidation>
    <x:dataValidation type="list" sqref="B53">
      <x:formula1>"Attraction,Trust,Comfort,Affection,Intimacy,Jealousy,Conflict"</x:formula1>
    </x:dataValidation>
    <x:dataValidation type="list" sqref="C53">
      <x:formula1>Event_Table!$A$2:$A$17</x:formula1>
    </x:dataValidation>
    <x:dataValidation type="list" sqref="B54">
      <x:formula1>"Attraction,Trust,Comfort,Affection,Intimacy,Jealousy,Conflict"</x:formula1>
    </x:dataValidation>
    <x:dataValidation type="list" sqref="C54">
      <x:formula1>Event_Table!$A$2:$A$17</x:formula1>
    </x:dataValidation>
    <x:dataValidation type="list" sqref="B55">
      <x:formula1>"Attraction,Trust,Comfort,Affection,Intimacy,Jealousy,Conflict"</x:formula1>
    </x:dataValidation>
    <x:dataValidation type="list" sqref="C55">
      <x:formula1>Event_Table!$A$2:$A$17</x:formula1>
    </x:dataValidation>
    <x:dataValidation type="list" sqref="B56">
      <x:formula1>"Attraction,Trust,Comfort,Affection,Intimacy,Jealousy,Conflict"</x:formula1>
    </x:dataValidation>
    <x:dataValidation type="list" sqref="C56">
      <x:formula1>Event_Table!$A$2:$A$17</x:formula1>
    </x:dataValidation>
    <x:dataValidation type="list" sqref="B57">
      <x:formula1>"Attraction,Trust,Comfort,Affection,Intimacy,Jealousy,Conflict"</x:formula1>
    </x:dataValidation>
    <x:dataValidation type="list" sqref="C57">
      <x:formula1>Event_Table!$A$2:$A$17</x:formula1>
    </x:dataValidation>
    <x:dataValidation type="list" sqref="B58">
      <x:formula1>"Attraction,Trust,Comfort,Affection,Intimacy,Jealousy,Conflict"</x:formula1>
    </x:dataValidation>
    <x:dataValidation type="list" sqref="C58">
      <x:formula1>Event_Table!$A$2:$A$17</x:formula1>
    </x:dataValidation>
    <x:dataValidation type="list" sqref="B59">
      <x:formula1>"Attraction,Trust,Comfort,Affection,Intimacy,Jealousy,Conflict"</x:formula1>
    </x:dataValidation>
    <x:dataValidation type="list" sqref="C59">
      <x:formula1>Event_Table!$A$2:$A$17</x:formula1>
    </x:dataValidation>
    <x:dataValidation type="list" sqref="B60">
      <x:formula1>"Attraction,Trust,Comfort,Affection,Intimacy,Jealousy,Conflict"</x:formula1>
    </x:dataValidation>
    <x:dataValidation type="list" sqref="C60">
      <x:formula1>Event_Table!$A$2:$A$17</x:formula1>
    </x:dataValidation>
    <x:dataValidation type="list" sqref="B61">
      <x:formula1>"Attraction,Trust,Comfort,Affection,Intimacy,Jealousy,Conflict"</x:formula1>
    </x:dataValidation>
    <x:dataValidation type="list" sqref="C61">
      <x:formula1>Event_Table!$A$2:$A$17</x:formula1>
    </x:dataValidation>
    <x:dataValidation type="list" sqref="B62">
      <x:formula1>"Attraction,Trust,Comfort,Affection,Intimacy,Jealousy,Conflict"</x:formula1>
    </x:dataValidation>
    <x:dataValidation type="list" sqref="C62">
      <x:formula1>Event_Table!$A$2:$A$17</x:formula1>
    </x:dataValidation>
    <x:dataValidation type="list" sqref="B63">
      <x:formula1>"Attraction,Trust,Comfort,Affection,Intimacy,Jealousy,Conflict"</x:formula1>
    </x:dataValidation>
    <x:dataValidation type="list" sqref="C63">
      <x:formula1>Event_Table!$A$2:$A$17</x:formula1>
    </x:dataValidation>
    <x:dataValidation type="list" sqref="B64">
      <x:formula1>"Attraction,Trust,Comfort,Affection,Intimacy,Jealousy,Conflict"</x:formula1>
    </x:dataValidation>
    <x:dataValidation type="list" sqref="C64">
      <x:formula1>Event_Table!$A$2:$A$17</x:formula1>
    </x:dataValidation>
    <x:dataValidation type="list" sqref="B65">
      <x:formula1>"Attraction,Trust,Comfort,Affection,Intimacy,Jealousy,Conflict"</x:formula1>
    </x:dataValidation>
    <x:dataValidation type="list" sqref="C65">
      <x:formula1>Event_Table!$A$2:$A$17</x:formula1>
    </x:dataValidation>
    <x:dataValidation type="list" sqref="B66">
      <x:formula1>"Attraction,Trust,Comfort,Affection,Intimacy,Jealousy,Conflict"</x:formula1>
    </x:dataValidation>
    <x:dataValidation type="list" sqref="C66">
      <x:formula1>Event_Table!$A$2:$A$17</x:formula1>
    </x:dataValidation>
    <x:dataValidation type="list" sqref="B67">
      <x:formula1>"Attraction,Trust,Comfort,Affection,Intimacy,Jealousy,Conflict"</x:formula1>
    </x:dataValidation>
    <x:dataValidation type="list" sqref="C67">
      <x:formula1>Event_Table!$A$2:$A$17</x:formula1>
    </x:dataValidation>
    <x:dataValidation type="list" sqref="B68">
      <x:formula1>"Attraction,Trust,Comfort,Affection,Intimacy,Jealousy,Conflict"</x:formula1>
    </x:dataValidation>
    <x:dataValidation type="list" sqref="C68">
      <x:formula1>Event_Table!$A$2:$A$17</x:formula1>
    </x:dataValidation>
    <x:dataValidation type="list" sqref="B69">
      <x:formula1>"Attraction,Trust,Comfort,Affection,Intimacy,Jealousy,Conflict"</x:formula1>
    </x:dataValidation>
    <x:dataValidation type="list" sqref="C69">
      <x:formula1>Event_Table!$A$2:$A$17</x:formula1>
    </x:dataValidation>
    <x:dataValidation type="list" sqref="B70">
      <x:formula1>"Attraction,Trust,Comfort,Affection,Intimacy,Jealousy,Conflict"</x:formula1>
    </x:dataValidation>
    <x:dataValidation type="list" sqref="C70">
      <x:formula1>Event_Table!$A$2:$A$17</x:formula1>
    </x:dataValidation>
    <x:dataValidation type="list" sqref="B71">
      <x:formula1>"Attraction,Trust,Comfort,Affection,Intimacy,Jealousy,Conflict"</x:formula1>
    </x:dataValidation>
    <x:dataValidation type="list" sqref="C71">
      <x:formula1>Event_Table!$A$2:$A$17</x:formula1>
    </x:dataValidation>
    <x:dataValidation type="list" sqref="B72">
      <x:formula1>"Attraction,Trust,Comfort,Affection,Intimacy,Jealousy,Conflict"</x:formula1>
    </x:dataValidation>
    <x:dataValidation type="list" sqref="C72">
      <x:formula1>Event_Table!$A$2:$A$17</x:formula1>
    </x:dataValidation>
    <x:dataValidation type="list" sqref="B73">
      <x:formula1>"Attraction,Trust,Comfort,Affection,Intimacy,Jealousy,Conflict"</x:formula1>
    </x:dataValidation>
    <x:dataValidation type="list" sqref="C73">
      <x:formula1>Event_Table!$A$2:$A$17</x:formula1>
    </x:dataValidation>
    <x:dataValidation type="list" sqref="B74">
      <x:formula1>"Attraction,Trust,Comfort,Affection,Intimacy,Jealousy,Conflict"</x:formula1>
    </x:dataValidation>
    <x:dataValidation type="list" sqref="C74">
      <x:formula1>Event_Table!$A$2:$A$17</x:formula1>
    </x:dataValidation>
    <x:dataValidation type="list" sqref="B75">
      <x:formula1>"Attraction,Trust,Comfort,Affection,Intimacy,Jealousy,Conflict"</x:formula1>
    </x:dataValidation>
    <x:dataValidation type="list" sqref="C75">
      <x:formula1>Event_Table!$A$2:$A$17</x:formula1>
    </x:dataValidation>
    <x:dataValidation type="list" sqref="B76">
      <x:formula1>"Attraction,Trust,Comfort,Affection,Intimacy,Jealousy,Conflict"</x:formula1>
    </x:dataValidation>
    <x:dataValidation type="list" sqref="C76">
      <x:formula1>Event_Table!$A$2:$A$17</x:formula1>
    </x:dataValidation>
    <x:dataValidation type="list" sqref="B77">
      <x:formula1>"Attraction,Trust,Comfort,Affection,Intimacy,Jealousy,Conflict"</x:formula1>
    </x:dataValidation>
    <x:dataValidation type="list" sqref="C77">
      <x:formula1>Event_Table!$A$2:$A$17</x:formula1>
    </x:dataValidation>
    <x:dataValidation type="list" sqref="B78">
      <x:formula1>"Attraction,Trust,Comfort,Affection,Intimacy,Jealousy,Conflict"</x:formula1>
    </x:dataValidation>
    <x:dataValidation type="list" sqref="C78">
      <x:formula1>Event_Table!$A$2:$A$17</x:formula1>
    </x:dataValidation>
    <x:dataValidation type="list" sqref="B79">
      <x:formula1>"Attraction,Trust,Comfort,Affection,Intimacy,Jealousy,Conflict"</x:formula1>
    </x:dataValidation>
    <x:dataValidation type="list" sqref="C79">
      <x:formula1>Event_Table!$A$2:$A$17</x:formula1>
    </x:dataValidation>
    <x:dataValidation type="list" sqref="B80">
      <x:formula1>"Attraction,Trust,Comfort,Affection,Intimacy,Jealousy,Conflict"</x:formula1>
    </x:dataValidation>
    <x:dataValidation type="list" sqref="C80">
      <x:formula1>Event_Table!$A$2:$A$17</x:formula1>
    </x:dataValidation>
    <x:dataValidation type="list" sqref="B81">
      <x:formula1>"Attraction,Trust,Comfort,Affection,Intimacy,Jealousy,Conflict"</x:formula1>
    </x:dataValidation>
    <x:dataValidation type="list" sqref="C81">
      <x:formula1>Event_Table!$A$2:$A$17</x:formula1>
    </x:dataValidation>
    <x:dataValidation type="list" sqref="B82">
      <x:formula1>"Attraction,Trust,Comfort,Affection,Intimacy,Jealousy,Conflict"</x:formula1>
    </x:dataValidation>
    <x:dataValidation type="list" sqref="C82">
      <x:formula1>Event_Table!$A$2:$A$17</x:formula1>
    </x:dataValidation>
    <x:dataValidation type="list" sqref="B83">
      <x:formula1>"Attraction,Trust,Comfort,Affection,Intimacy,Jealousy,Conflict"</x:formula1>
    </x:dataValidation>
    <x:dataValidation type="list" sqref="C83">
      <x:formula1>Event_Table!$A$2:$A$17</x:formula1>
    </x:dataValidation>
    <x:dataValidation type="list" sqref="B84">
      <x:formula1>"Attraction,Trust,Comfort,Affection,Intimacy,Jealousy,Conflict"</x:formula1>
    </x:dataValidation>
    <x:dataValidation type="list" sqref="C84">
      <x:formula1>Event_Table!$A$2:$A$17</x:formula1>
    </x:dataValidation>
    <x:dataValidation type="list" sqref="B85">
      <x:formula1>"Attraction,Trust,Comfort,Affection,Intimacy,Jealousy,Conflict"</x:formula1>
    </x:dataValidation>
    <x:dataValidation type="list" sqref="C85">
      <x:formula1>Event_Table!$A$2:$A$17</x:formula1>
    </x:dataValidation>
    <x:dataValidation type="list" sqref="B86">
      <x:formula1>"Attraction,Trust,Comfort,Affection,Intimacy,Jealousy,Conflict"</x:formula1>
    </x:dataValidation>
    <x:dataValidation type="list" sqref="C86">
      <x:formula1>Event_Table!$A$2:$A$17</x:formula1>
    </x:dataValidation>
    <x:dataValidation type="list" sqref="B87">
      <x:formula1>"Attraction,Trust,Comfort,Affection,Intimacy,Jealousy,Conflict"</x:formula1>
    </x:dataValidation>
    <x:dataValidation type="list" sqref="C87">
      <x:formula1>Event_Table!$A$2:$A$17</x:formula1>
    </x:dataValidation>
    <x:dataValidation type="list" sqref="B88">
      <x:formula1>"Attraction,Trust,Comfort,Affection,Intimacy,Jealousy,Conflict"</x:formula1>
    </x:dataValidation>
    <x:dataValidation type="list" sqref="C88">
      <x:formula1>Event_Table!$A$2:$A$17</x:formula1>
    </x:dataValidation>
    <x:dataValidation type="list" sqref="B89">
      <x:formula1>"Attraction,Trust,Comfort,Affection,Intimacy,Jealousy,Conflict"</x:formula1>
    </x:dataValidation>
    <x:dataValidation type="list" sqref="C89">
      <x:formula1>Event_Table!$A$2:$A$17</x:formula1>
    </x:dataValidation>
    <x:dataValidation type="list" sqref="B90">
      <x:formula1>"Attraction,Trust,Comfort,Affection,Intimacy,Jealousy,Conflict"</x:formula1>
    </x:dataValidation>
    <x:dataValidation type="list" sqref="C90">
      <x:formula1>Event_Table!$A$2:$A$17</x:formula1>
    </x:dataValidation>
    <x:dataValidation type="list" sqref="B91">
      <x:formula1>"Attraction,Trust,Comfort,Affection,Intimacy,Jealousy,Conflict"</x:formula1>
    </x:dataValidation>
    <x:dataValidation type="list" sqref="C91">
      <x:formula1>Event_Table!$A$2:$A$17</x:formula1>
    </x:dataValidation>
    <x:dataValidation type="list" sqref="B92">
      <x:formula1>"Attraction,Trust,Comfort,Affection,Intimacy,Jealousy,Conflict"</x:formula1>
    </x:dataValidation>
    <x:dataValidation type="list" sqref="C92">
      <x:formula1>Event_Table!$A$2:$A$17</x:formula1>
    </x:dataValidation>
    <x:dataValidation type="list" sqref="B93">
      <x:formula1>"Attraction,Trust,Comfort,Affection,Intimacy,Jealousy,Conflict"</x:formula1>
    </x:dataValidation>
    <x:dataValidation type="list" sqref="C93">
      <x:formula1>Event_Table!$A$2:$A$17</x:formula1>
    </x:dataValidation>
    <x:dataValidation type="list" sqref="B94">
      <x:formula1>"Attraction,Trust,Comfort,Affection,Intimacy,Jealousy,Conflict"</x:formula1>
    </x:dataValidation>
    <x:dataValidation type="list" sqref="C94">
      <x:formula1>Event_Table!$A$2:$A$17</x:formula1>
    </x:dataValidation>
    <x:dataValidation type="list" sqref="B95">
      <x:formula1>"Attraction,Trust,Comfort,Affection,Intimacy,Jealousy,Conflict"</x:formula1>
    </x:dataValidation>
    <x:dataValidation type="list" sqref="C95">
      <x:formula1>Event_Table!$A$2:$A$17</x:formula1>
    </x:dataValidation>
    <x:dataValidation type="list" sqref="B96">
      <x:formula1>"Attraction,Trust,Comfort,Affection,Intimacy,Jealousy,Conflict"</x:formula1>
    </x:dataValidation>
    <x:dataValidation type="list" sqref="C96">
      <x:formula1>Event_Table!$A$2:$A$17</x:formula1>
    </x:dataValidation>
    <x:dataValidation type="list" sqref="B97">
      <x:formula1>"Attraction,Trust,Comfort,Affection,Intimacy,Jealousy,Conflict"</x:formula1>
    </x:dataValidation>
    <x:dataValidation type="list" sqref="C97">
      <x:formula1>Event_Table!$A$2:$A$17</x:formula1>
    </x:dataValidation>
    <x:dataValidation type="list" sqref="B98">
      <x:formula1>"Attraction,Trust,Comfort,Affection,Intimacy,Jealousy,Conflict"</x:formula1>
    </x:dataValidation>
    <x:dataValidation type="list" sqref="C98">
      <x:formula1>Event_Table!$A$2:$A$17</x:formula1>
    </x:dataValidation>
    <x:dataValidation type="list" sqref="B99">
      <x:formula1>"Attraction,Trust,Comfort,Affection,Intimacy,Jealousy,Conflict"</x:formula1>
    </x:dataValidation>
    <x:dataValidation type="list" sqref="C99">
      <x:formula1>Event_Table!$A$2:$A$17</x:formula1>
    </x:dataValidation>
    <x:dataValidation type="list" sqref="B100">
      <x:formula1>"Attraction,Trust,Comfort,Affection,Intimacy,Jealousy,Conflict"</x:formula1>
    </x:dataValidation>
    <x:dataValidation type="list" sqref="C100">
      <x:formula1>Event_Table!$A$2:$A$17</x:formula1>
    </x:dataValidation>
    <x:dataValidation type="list" sqref="B101">
      <x:formula1>"Attraction,Trust,Comfort,Affection,Intimacy,Jealousy,Conflict"</x:formula1>
    </x:dataValidation>
    <x:dataValidation type="list" sqref="C101">
      <x:formula1>Event_Table!$A$2:$A$17</x:formula1>
    </x:dataValidation>
    <x:dataValidation type="list" sqref="B102">
      <x:formula1>"Attraction,Trust,Comfort,Affection,Intimacy,Jealousy,Conflict"</x:formula1>
    </x:dataValidation>
    <x:dataValidation type="list" sqref="C102">
      <x:formula1>Event_Table!$A$2:$A$17</x:formula1>
    </x:dataValidation>
    <x:dataValidation type="list" sqref="B103">
      <x:formula1>"Attraction,Trust,Comfort,Affection,Intimacy,Jealousy,Conflict"</x:formula1>
    </x:dataValidation>
    <x:dataValidation type="list" sqref="C103">
      <x:formula1>Event_Table!$A$2:$A$17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8" t="str">
        <x:v>CITY OF LUST — Relationship Simulation Dashboard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89"/>
      <x:c r="W1" s="89"/>
      <x:c r="X1" s="89"/>
      <x:c r="Y1" s="89"/>
      <x:c r="Z1" s="89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>
      <x:c r="A3" s="14" t="str">
        <x:v>궁합 지표</x:v>
      </x:c>
      <x:c r="B3" s="14" t="str">
        <x:v>점수</x:v>
      </x:c>
      <x:c r="C3" s="14" t="str">
        <x:v>등급</x:v>
      </x:c>
      <x:c r="D3" s="14" t="str">
        <x:v>설명</x:v>
      </x:c>
      <x:c r="E3" s="89"/>
      <x:c r="F3" s="14" t="str">
        <x:v>현재 관계 상태</x:v>
      </x:c>
      <x:c r="G3" s="14" t="str">
        <x:v>현재값</x:v>
      </x:c>
      <x:c r="H3" s="14" t="str">
        <x:v>목표</x:v>
      </x:c>
      <x:c r="I3" s="14" t="str">
        <x:v>달성</x:v>
      </x:c>
      <x:c r="J3" s="14" t="str">
        <x:v>해석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89"/>
      <x:c r="W3" s="89"/>
      <x:c r="X3" s="89"/>
      <x:c r="Y3" s="89"/>
      <x:c r="Z3" s="89"/>
    </x:row>
    <x:row r="4">
      <x:c r="A4" s="89" t="str">
        <x:v>F→M Overall</x:v>
      </x:c>
      <x:c r="B4" s="83" t="n">
        <x:f>Compatibility_Calc!B36</x:f>
        <x:v>42.61578604044358</x:v>
      </x:c>
      <x:c r="C4" s="83" t="str">
        <x:f>IF(B4&gt;=85,"S",IF(B4&gt;=75,"A",IF(B4&gt;=65,"B",IF(B4&gt;=50,"C","D"))))</x:f>
        <x:v>D</x:v>
      </x:c>
      <x:c r="D4" s="89" t="str">
        <x:v>여성이 남성을 평가한 잠재 궁합</x:v>
      </x:c>
      <x:c r="E4" s="89"/>
      <x:c r="F4" s="89" t="str">
        <x:v>Attraction</x:v>
      </x:c>
      <x:c r="G4" s="83" t="n">
        <x:f>Relationship_State!D4</x:f>
        <x:v>48</x:v>
      </x:c>
      <x:c r="H4" s="83" t="n">
        <x:f>Relationship_State!E4</x:f>
        <x:v>60</x:v>
      </x:c>
      <x:c r="I4" s="83" t="str">
        <x:f>Relationship_State!F4</x:f>
        <x:v>NO</x:v>
      </x:c>
      <x:c r="J4" s="89" t="str"/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89"/>
      <x:c r="W4" s="89"/>
      <x:c r="X4" s="89"/>
      <x:c r="Y4" s="89"/>
      <x:c r="Z4" s="89"/>
    </x:row>
    <x:row r="5">
      <x:c r="A5" s="89" t="str">
        <x:v>M→F Overall</x:v>
      </x:c>
      <x:c r="B5" s="83" t="n">
        <x:f>Compatibility_Calc!B37</x:f>
        <x:v>39.39600082457226</x:v>
      </x:c>
      <x:c r="C5" s="83" t="str">
        <x:f>IF(B5&gt;=85,"S",IF(B5&gt;=75,"A",IF(B5&gt;=65,"B",IF(B5&gt;=50,"C","D"))))</x:f>
        <x:v>D</x:v>
      </x:c>
      <x:c r="D5" s="89" t="str">
        <x:v>남성이 여성을 평가한 잠재 궁합</x:v>
      </x:c>
      <x:c r="E5" s="89"/>
      <x:c r="F5" s="89" t="str">
        <x:v>Trust</x:v>
      </x:c>
      <x:c r="G5" s="83" t="n">
        <x:f>Relationship_State!D5</x:f>
        <x:v>50</x:v>
      </x:c>
      <x:c r="H5" s="83" t="n">
        <x:f>Relationship_State!E5</x:f>
        <x:v>55</x:v>
      </x:c>
      <x:c r="I5" s="83" t="str">
        <x:f>Relationship_State!F5</x:f>
        <x:v>NO</x:v>
      </x:c>
      <x:c r="J5" s="89" t="str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</x:row>
    <x:row r="6">
      <x:c r="A6" s="89" t="str">
        <x:v>Mutual Compatibility</x:v>
      </x:c>
      <x:c r="B6" s="83" t="n">
        <x:f>Compatibility_Calc!B38</x:f>
        <x:v>35.15983671477736</x:v>
      </x:c>
      <x:c r="C6" s="83" t="str">
        <x:f>IF(B6&gt;=85,"S",IF(B6&gt;=75,"A",IF(B6&gt;=65,"B",IF(B6&gt;=50,"C","D"))))</x:f>
        <x:v>D</x:v>
      </x:c>
      <x:c r="D6" s="89" t="str">
        <x:v>양방향 + 영역가중</x:v>
      </x:c>
      <x:c r="E6" s="89"/>
      <x:c r="F6" s="89" t="str">
        <x:v>Comfort</x:v>
      </x:c>
      <x:c r="G6" s="83" t="n">
        <x:f>Relationship_State!D6</x:f>
        <x:v>44</x:v>
      </x:c>
      <x:c r="H6" s="83" t="n">
        <x:f>Relationship_State!E6</x:f>
        <x:v>60</x:v>
      </x:c>
      <x:c r="I6" s="83" t="str">
        <x:f>Relationship_State!F6</x:f>
        <x:v>NO</x:v>
      </x:c>
      <x:c r="J6" s="89" t="str"/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/>
      <x:c r="V6" s="89"/>
      <x:c r="W6" s="89"/>
      <x:c r="X6" s="89"/>
      <x:c r="Y6" s="89"/>
      <x:c r="Z6" s="89"/>
    </x:row>
    <x:row r="7">
      <x:c r="A7" s="89" t="str">
        <x:v>Physical</x:v>
      </x:c>
      <x:c r="B7" s="83" t="n">
        <x:f>Compatibility_Calc!D30</x:f>
        <x:v>10.954451150103322</x:v>
      </x:c>
      <x:c r="C7" s="83" t="str">
        <x:f>IF(B7&gt;=85,"S",IF(B7&gt;=75,"A",IF(B7&gt;=65,"B",IF(B7&gt;=50,"C","D"))))</x:f>
        <x:v>D</x:v>
      </x:c>
      <x:c r="D7" s="89" t="str">
        <x:v>외모/첫인상</x:v>
      </x:c>
      <x:c r="E7" s="89"/>
      <x:c r="F7" s="89" t="str">
        <x:v>Affection</x:v>
      </x:c>
      <x:c r="G7" s="83" t="n">
        <x:f>Relationship_State!D7</x:f>
        <x:v>35</x:v>
      </x:c>
      <x:c r="H7" s="83" t="n">
        <x:f>Relationship_State!E7</x:f>
        <x:v>55</x:v>
      </x:c>
      <x:c r="I7" s="83" t="str">
        <x:f>Relationship_State!F7</x:f>
        <x:v>NO</x:v>
      </x:c>
      <x:c r="J7" s="89" t="str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</x:row>
    <x:row r="8">
      <x:c r="A8" s="89" t="str">
        <x:v>Personality</x:v>
      </x:c>
      <x:c r="B8" s="83" t="n">
        <x:f>Compatibility_Calc!D31</x:f>
        <x:v>2.5</x:v>
      </x:c>
      <x:c r="C8" s="83" t="str">
        <x:f>IF(B8&gt;=85,"S",IF(B8&gt;=75,"A",IF(B8&gt;=65,"B",IF(B8&gt;=50,"C","D"))))</x:f>
        <x:v>D</x:v>
      </x:c>
      <x:c r="D8" s="89" t="str">
        <x:v>성격/대화</x:v>
      </x:c>
      <x:c r="E8" s="89"/>
      <x:c r="F8" s="89" t="str">
        <x:v>Intimacy</x:v>
      </x:c>
      <x:c r="G8" s="83" t="n">
        <x:f>Relationship_State!D8</x:f>
        <x:v>20</x:v>
      </x:c>
      <x:c r="H8" s="83" t="n">
        <x:f>Relationship_State!E8</x:f>
        <x:v>60</x:v>
      </x:c>
      <x:c r="I8" s="83" t="str">
        <x:f>Relationship_State!F8</x:f>
        <x:v>NO</x:v>
      </x:c>
      <x:c r="J8" s="89" t="str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</x:row>
    <x:row r="9">
      <x:c r="A9" s="89" t="str">
        <x:v>Lifestyle</x:v>
      </x:c>
      <x:c r="B9" s="83" t="n">
        <x:f>Compatibility_Calc!D32</x:f>
        <x:v>77.77436959382986</x:v>
      </x:c>
      <x:c r="C9" s="83" t="str">
        <x:f>IF(B9&gt;=85,"S",IF(B9&gt;=75,"A",IF(B9&gt;=65,"B",IF(B9&gt;=50,"C","D"))))</x:f>
        <x:v>A</x:v>
      </x:c>
      <x:c r="D9" s="89" t="str">
        <x:v>생활/가치관</x:v>
      </x:c>
      <x:c r="E9" s="89"/>
      <x:c r="F9" s="89" t="str">
        <x:v>Jealousy</x:v>
      </x:c>
      <x:c r="G9" s="83" t="n">
        <x:f>Relationship_State!D9</x:f>
        <x:v>10</x:v>
      </x:c>
      <x:c r="H9" s="83" t="n">
        <x:f>Relationship_State!E9</x:f>
        <x:v>0</x:v>
      </x:c>
      <x:c r="I9" s="83" t="str">
        <x:f>Relationship_State!F9</x:f>
        <x:v>YES</x:v>
      </x:c>
      <x:c r="J9" s="89" t="str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</x:row>
    <x:row r="10">
      <x:c r="A10" s="89" t="str">
        <x:v>Intimacy</x:v>
      </x:c>
      <x:c r="B10" s="83" t="n">
        <x:f>Compatibility_Calc!D33</x:f>
        <x:v>77.84313725490196</x:v>
      </x:c>
      <x:c r="C10" s="83" t="str">
        <x:f>IF(B10&gt;=85,"S",IF(B10&gt;=75,"A",IF(B10&gt;=65,"B",IF(B10&gt;=50,"C","D"))))</x:f>
        <x:v>A</x:v>
      </x:c>
      <x:c r="D10" s="89" t="str">
        <x:v>친밀감 잠재력</x:v>
      </x:c>
      <x:c r="E10" s="89"/>
      <x:c r="F10" s="89" t="str">
        <x:v>Conflict</x:v>
      </x:c>
      <x:c r="G10" s="83" t="n">
        <x:f>Relationship_State!D10</x:f>
        <x:v>12</x:v>
      </x:c>
      <x:c r="H10" s="83" t="n">
        <x:f>Relationship_State!E10</x:f>
        <x:v>0</x:v>
      </x:c>
      <x:c r="I10" s="83" t="str">
        <x:f>Relationship_State!F10</x:f>
        <x:v>YES</x:v>
      </x:c>
      <x:c r="J10" s="89" t="str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</x:row>
    <x:row r="11">
      <x:c r="A11" s="89"/>
      <x:c r="B11" s="89"/>
      <x:c r="C11" s="89"/>
      <x:c r="D11" s="89"/>
      <x:c r="E11" s="89"/>
      <x:c r="F11" s="89" t="str">
        <x:v>현재 Stage</x:v>
      </x:c>
      <x:c r="G11" s="83" t="str">
        <x:f>IF(Relationship_State!C17="YES","Relationship",IF(Relationship_State!C16="YES","Intimate",IF(Relationship_State!C15="YES","Dating",IF(Relationship_State!C14="YES","Interested","Stranger"))))</x:f>
        <x:v>Stranger</x:v>
      </x:c>
      <x:c r="H11" s="83" t="str"/>
      <x:c r="I11" s="83" t="str"/>
      <x:c r="J11" s="89" t="str"/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/>
      <x:c r="V11" s="89"/>
      <x:c r="W11" s="89"/>
      <x:c r="X11" s="89"/>
      <x:c r="Y11" s="89"/>
      <x:c r="Z11" s="89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/>
      <x:c r="V12" s="89"/>
      <x:c r="W12" s="89"/>
      <x:c r="X12" s="89"/>
      <x:c r="Y12" s="89"/>
      <x:c r="Z12" s="89"/>
    </x:row>
    <x:row r="13">
      <x:c r="A13" s="14" t="str">
        <x:v>핵심 해석</x:v>
      </x:c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/>
      <x:c r="V13" s="89"/>
      <x:c r="W13" s="89"/>
      <x:c r="X13" s="89"/>
      <x:c r="Y13" s="89"/>
      <x:c r="Z13" s="89"/>
    </x:row>
    <x:row r="14">
      <x:c r="A14" s="83" t="n">
        <x:f>B6</x:f>
        <x:v>35.15983671477736</x:v>
      </x:c>
      <x:c r="B14" s="83" t="str"/>
      <x:c r="C14" s="83" t="str"/>
      <x:c r="D14" s="83" t="str"/>
      <x:c r="E14" s="83" t="str">
        <x:v>Relationship Actual</x:v>
      </x:c>
      <x:c r="F14" s="83" t="n">
        <x:f>AVERAGE(G4:G8)-G10*0.5</x:f>
        <x:v>33.4</x:v>
      </x:c>
      <x:c r="G14" s="89" t="str"/>
      <x:c r="H14" s="89" t="str"/>
      <x:c r="I14" s="89" t="str"/>
      <x:c r="J14" s="89" t="str"/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89"/>
      <x:c r="W14" s="89"/>
      <x:c r="X14" s="89"/>
      <x:c r="Y14" s="89"/>
      <x:c r="Z14" s="89"/>
    </x:row>
    <x:row r="15">
      <x:c r="A15" s="83" t="str">
        <x:v>궁합은 '가능성', 관계는 '행동의 결과'</x:v>
      </x:c>
      <x:c r="B15" s="83" t="str"/>
      <x:c r="C15" s="83" t="str"/>
      <x:c r="D15" s="83" t="str"/>
      <x:c r="E15" s="83" t="str"/>
      <x:c r="F15" s="83" t="str">
        <x:f>IF(AND(A14&gt;=75,F14&gt;=70),"궁합도 좋고 관계도 좋음",IF(AND(A14&gt;=75,F14&lt;55),"궁합은 높지만 관계 관리가 필요",IF(AND(A14&lt;60,F14&gt;=70),"궁합은 보통이나 관계는 깊음","관계 탐색 중")))</x:f>
        <x:v>관계 탐색 중</x:v>
      </x:c>
      <x:c r="G15" s="89" t="str"/>
      <x:c r="H15" s="89" t="str"/>
      <x:c r="I15" s="89" t="str"/>
      <x:c r="J15" s="89" t="str"/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</x:row>
    <x:row r="16">
      <x:c r="A16" s="89" t="str"/>
      <x:c r="B16" s="89" t="str"/>
      <x:c r="C16" s="89" t="str"/>
      <x:c r="D16" s="89" t="str"/>
      <x:c r="E16" s="89" t="str"/>
      <x:c r="F16" s="89" t="str"/>
      <x:c r="G16" s="89" t="str"/>
      <x:c r="H16" s="89" t="str"/>
      <x:c r="I16" s="89" t="str"/>
      <x:c r="J16" s="89" t="str"/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</x:row>
    <x:row r="17">
      <x:c r="A17" s="89" t="str"/>
      <x:c r="B17" s="89" t="str"/>
      <x:c r="C17" s="89" t="str"/>
      <x:c r="D17" s="89" t="str"/>
      <x:c r="E17" s="89" t="str"/>
      <x:c r="F17" s="89" t="str"/>
      <x:c r="G17" s="89" t="str"/>
      <x:c r="H17" s="89" t="str"/>
      <x:c r="I17" s="89" t="str"/>
      <x:c r="J17" s="89" t="str"/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89"/>
      <x:c r="W17" s="89"/>
      <x:c r="X17" s="89"/>
      <x:c r="Y17" s="89"/>
      <x:c r="Z17" s="89"/>
    </x:row>
    <x:row r="18">
      <x:c r="A18" s="89" t="str"/>
      <x:c r="B18" s="89" t="str"/>
      <x:c r="C18" s="89" t="str"/>
      <x:c r="D18" s="89" t="str"/>
      <x:c r="E18" s="89" t="str"/>
      <x:c r="F18" s="89" t="str"/>
      <x:c r="G18" s="89" t="str"/>
      <x:c r="H18" s="89" t="str"/>
      <x:c r="I18" s="89" t="str"/>
      <x:c r="J18" s="89" t="str"/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89"/>
      <x:c r="W18" s="89"/>
      <x:c r="X18" s="89"/>
      <x:c r="Y18" s="89"/>
      <x:c r="Z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89"/>
      <x:c r="W19" s="89"/>
      <x:c r="X19" s="89"/>
      <x:c r="Y19" s="89"/>
      <x:c r="Z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89"/>
      <x:c r="W20" s="89"/>
      <x:c r="X20" s="89"/>
      <x:c r="Y20" s="89"/>
      <x:c r="Z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89"/>
      <x:c r="W21" s="89"/>
      <x:c r="X21" s="89"/>
      <x:c r="Y21" s="89"/>
      <x:c r="Z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89"/>
      <x:c r="W22" s="89"/>
      <x:c r="X22" s="89"/>
      <x:c r="Y22" s="89"/>
      <x:c r="Z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89"/>
      <x:c r="W23" s="89"/>
      <x:c r="X23" s="89"/>
      <x:c r="Y23" s="89"/>
      <x:c r="Z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89"/>
      <x:c r="W24" s="89"/>
      <x:c r="X24" s="89"/>
      <x:c r="Y24" s="89"/>
      <x:c r="Z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89"/>
      <x:c r="W25" s="89"/>
      <x:c r="X25" s="89"/>
      <x:c r="Y25" s="89"/>
      <x:c r="Z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89"/>
      <x:c r="W26" s="89"/>
      <x:c r="X26" s="89"/>
      <x:c r="Y26" s="89"/>
      <x:c r="Z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89"/>
      <x:c r="W27" s="89"/>
      <x:c r="X27" s="89"/>
      <x:c r="Y27" s="89"/>
      <x:c r="Z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89"/>
      <x:c r="W29" s="89"/>
      <x:c r="X29" s="89"/>
      <x:c r="Y29" s="89"/>
      <x:c r="Z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89"/>
      <x:c r="W30" s="89"/>
      <x:c r="X30" s="89"/>
      <x:c r="Y30" s="89"/>
      <x:c r="Z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89"/>
      <x:c r="W31" s="89"/>
      <x:c r="X31" s="89"/>
      <x:c r="Y31" s="89"/>
      <x:c r="Z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89"/>
      <x:c r="W32" s="89"/>
      <x:c r="X32" s="89"/>
      <x:c r="Y32" s="89"/>
      <x:c r="Z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89"/>
      <x:c r="W33" s="89"/>
      <x:c r="X33" s="89"/>
      <x:c r="Y33" s="89"/>
      <x:c r="Z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89"/>
      <x:c r="W34" s="89"/>
      <x:c r="X34" s="89"/>
      <x:c r="Y34" s="89"/>
      <x:c r="Z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89"/>
      <x:c r="W35" s="89"/>
      <x:c r="X35" s="89"/>
      <x:c r="Y35" s="89"/>
      <x:c r="Z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89"/>
      <x:c r="W36" s="89"/>
      <x:c r="X36" s="89"/>
      <x:c r="Y36" s="89"/>
      <x:c r="Z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89"/>
      <x:c r="W37" s="89"/>
      <x:c r="X37" s="89"/>
      <x:c r="Y37" s="89"/>
      <x:c r="Z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89"/>
      <x:c r="W38" s="89"/>
      <x:c r="X38" s="89"/>
      <x:c r="Y38" s="89"/>
      <x:c r="Z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89"/>
      <x:c r="W39" s="89"/>
      <x:c r="X39" s="89"/>
      <x:c r="Y39" s="89"/>
      <x:c r="Z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89"/>
      <x:c r="W40" s="89"/>
      <x:c r="X40" s="89"/>
      <x:c r="Y40" s="89"/>
      <x:c r="Z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89"/>
      <x:c r="W41" s="89"/>
      <x:c r="X41" s="89"/>
      <x:c r="Y41" s="89"/>
      <x:c r="Z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89"/>
      <x:c r="W42" s="89"/>
      <x:c r="X42" s="89"/>
      <x:c r="Y42" s="89"/>
      <x:c r="Z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89"/>
      <x:c r="W43" s="89"/>
      <x:c r="X43" s="89"/>
      <x:c r="Y43" s="89"/>
      <x:c r="Z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89"/>
      <x:c r="W44" s="89"/>
      <x:c r="X44" s="89"/>
      <x:c r="Y44" s="89"/>
      <x:c r="Z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89"/>
      <x:c r="W45" s="89"/>
      <x:c r="X45" s="89"/>
      <x:c r="Y45" s="89"/>
      <x:c r="Z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89"/>
      <x:c r="W46" s="89"/>
      <x:c r="X46" s="89"/>
      <x:c r="Y46" s="89"/>
      <x:c r="Z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89"/>
      <x:c r="W47" s="89"/>
      <x:c r="X47" s="89"/>
      <x:c r="Y47" s="89"/>
      <x:c r="Z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89"/>
      <x:c r="W48" s="89"/>
      <x:c r="X48" s="89"/>
      <x:c r="Y48" s="89"/>
      <x:c r="Z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89"/>
      <x:c r="W49" s="89"/>
      <x:c r="X49" s="89"/>
      <x:c r="Y49" s="89"/>
      <x:c r="Z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89"/>
      <x:c r="W50" s="89"/>
      <x:c r="X50" s="89"/>
      <x:c r="Y50" s="89"/>
      <x:c r="Z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89"/>
      <x:c r="W51" s="89"/>
      <x:c r="X51" s="89"/>
      <x:c r="Y51" s="89"/>
      <x:c r="Z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89"/>
      <x:c r="W52" s="89"/>
      <x:c r="X52" s="89"/>
      <x:c r="Y52" s="89"/>
      <x:c r="Z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89"/>
      <x:c r="W53" s="89"/>
      <x:c r="X53" s="89"/>
      <x:c r="Y53" s="89"/>
      <x:c r="Z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89"/>
      <x:c r="W54" s="89"/>
      <x:c r="X54" s="89"/>
      <x:c r="Y54" s="89"/>
      <x:c r="Z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89"/>
      <x:c r="W55" s="89"/>
      <x:c r="X55" s="89"/>
      <x:c r="Y55" s="89"/>
      <x:c r="Z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89"/>
      <x:c r="W56" s="89"/>
      <x:c r="X56" s="89"/>
      <x:c r="Y56" s="89"/>
      <x:c r="Z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89"/>
      <x:c r="W57" s="89"/>
      <x:c r="X57" s="89"/>
      <x:c r="Y57" s="89"/>
      <x:c r="Z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89"/>
      <x:c r="W58" s="89"/>
      <x:c r="X58" s="89"/>
      <x:c r="Y58" s="89"/>
      <x:c r="Z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89"/>
      <x:c r="W59" s="89"/>
      <x:c r="X59" s="89"/>
      <x:c r="Y59" s="89"/>
      <x:c r="Z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89"/>
      <x:c r="W60" s="89"/>
      <x:c r="X60" s="89"/>
      <x:c r="Y60" s="89"/>
      <x:c r="Z60" s="89"/>
    </x:row>
    <x:row r="61">
      <x:c r="A61" s="89"/>
      <x:c r="B61" s="89"/>
      <x:c r="C61" s="89"/>
      <x:c r="D61" s="89"/>
      <x:c r="E61" s="89"/>
      <x:c r="F61" s="89"/>
      <x:c r="G61" s="89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89"/>
      <x:c r="W61" s="89"/>
      <x:c r="X61" s="89"/>
      <x:c r="Y61" s="89"/>
      <x:c r="Z61" s="89"/>
    </x:row>
    <x:row r="62">
      <x:c r="A62" s="89"/>
      <x:c r="B62" s="89"/>
      <x:c r="C62" s="89"/>
      <x:c r="D62" s="89"/>
      <x:c r="E62" s="89"/>
      <x:c r="F62" s="89"/>
      <x:c r="G62" s="89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89"/>
      <x:c r="W62" s="89"/>
      <x:c r="X62" s="89"/>
      <x:c r="Y62" s="89"/>
      <x:c r="Z62" s="89"/>
    </x:row>
    <x:row r="63">
      <x:c r="A63" s="89"/>
      <x:c r="B63" s="89"/>
      <x:c r="C63" s="89"/>
      <x:c r="D63" s="89"/>
      <x:c r="E63" s="89"/>
      <x:c r="F63" s="89"/>
      <x:c r="G63" s="89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89"/>
      <x:c r="W63" s="89"/>
      <x:c r="X63" s="89"/>
      <x:c r="Y63" s="89"/>
      <x:c r="Z63" s="89"/>
    </x:row>
    <x:row r="64">
      <x:c r="A64" s="89"/>
      <x:c r="B64" s="89"/>
      <x:c r="C64" s="89"/>
      <x:c r="D64" s="89"/>
      <x:c r="E64" s="89"/>
      <x:c r="F64" s="89"/>
      <x:c r="G64" s="89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89"/>
      <x:c r="W64" s="89"/>
      <x:c r="X64" s="89"/>
      <x:c r="Y64" s="89"/>
      <x:c r="Z64" s="89"/>
    </x:row>
    <x:row r="65">
      <x:c r="A65" s="89"/>
      <x:c r="B65" s="89"/>
      <x:c r="C65" s="89"/>
      <x:c r="D65" s="89"/>
      <x:c r="E65" s="89"/>
      <x:c r="F65" s="89"/>
      <x:c r="G65" s="89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89"/>
      <x:c r="W65" s="89"/>
      <x:c r="X65" s="89"/>
      <x:c r="Y65" s="89"/>
      <x:c r="Z65" s="89"/>
    </x:row>
    <x:row r="66">
      <x:c r="A66" s="89"/>
      <x:c r="B66" s="89"/>
      <x:c r="C66" s="89"/>
      <x:c r="D66" s="89"/>
      <x:c r="E66" s="89"/>
      <x:c r="F66" s="89"/>
      <x:c r="G66" s="89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89"/>
      <x:c r="W66" s="89"/>
      <x:c r="X66" s="89"/>
      <x:c r="Y66" s="89"/>
      <x:c r="Z66" s="89"/>
    </x:row>
    <x:row r="67">
      <x:c r="A67" s="89"/>
      <x:c r="B67" s="89"/>
      <x:c r="C67" s="89"/>
      <x:c r="D67" s="89"/>
      <x:c r="E67" s="89"/>
      <x:c r="F67" s="89"/>
      <x:c r="G67" s="89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89"/>
      <x:c r="W67" s="89"/>
      <x:c r="X67" s="89"/>
      <x:c r="Y67" s="89"/>
      <x:c r="Z67" s="89"/>
    </x:row>
    <x:row r="68">
      <x:c r="A68" s="89"/>
      <x:c r="B68" s="89"/>
      <x:c r="C68" s="89"/>
      <x:c r="D68" s="89"/>
      <x:c r="E68" s="89"/>
      <x:c r="F68" s="89"/>
      <x:c r="G68" s="89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89"/>
      <x:c r="W68" s="89"/>
      <x:c r="X68" s="89"/>
      <x:c r="Y68" s="89"/>
      <x:c r="Z68" s="89"/>
    </x:row>
    <x:row r="69">
      <x:c r="A69" s="89"/>
      <x:c r="B69" s="89"/>
      <x:c r="C69" s="89"/>
      <x:c r="D69" s="89"/>
      <x:c r="E69" s="89"/>
      <x:c r="F69" s="89"/>
      <x:c r="G69" s="89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89"/>
      <x:c r="W69" s="89"/>
      <x:c r="X69" s="89"/>
      <x:c r="Y69" s="89"/>
      <x:c r="Z69" s="89"/>
    </x:row>
    <x:row r="70">
      <x:c r="A70" s="89"/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89"/>
      <x:c r="W70" s="89"/>
      <x:c r="X70" s="89"/>
      <x:c r="Y70" s="89"/>
      <x:c r="Z70" s="89"/>
    </x:row>
    <x:row r="71">
      <x:c r="A71" s="89"/>
      <x:c r="B71" s="89"/>
      <x:c r="C71" s="89"/>
      <x:c r="D71" s="89"/>
      <x:c r="E71" s="89"/>
      <x:c r="F71" s="89"/>
      <x:c r="G71" s="89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89"/>
      <x:c r="W71" s="89"/>
      <x:c r="X71" s="89"/>
      <x:c r="Y71" s="89"/>
      <x:c r="Z71" s="89"/>
    </x:row>
    <x:row r="72">
      <x:c r="A72" s="89"/>
      <x:c r="B72" s="89"/>
      <x:c r="C72" s="89"/>
      <x:c r="D72" s="89"/>
      <x:c r="E72" s="89"/>
      <x:c r="F72" s="89"/>
      <x:c r="G72" s="89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89"/>
      <x:c r="W72" s="89"/>
      <x:c r="X72" s="89"/>
      <x:c r="Y72" s="89"/>
      <x:c r="Z72" s="89"/>
    </x:row>
    <x:row r="73">
      <x:c r="A73" s="89"/>
      <x:c r="B73" s="89"/>
      <x:c r="C73" s="89"/>
      <x:c r="D73" s="89"/>
      <x:c r="E73" s="89"/>
      <x:c r="F73" s="89"/>
      <x:c r="G73" s="89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89"/>
      <x:c r="W73" s="89"/>
      <x:c r="X73" s="89"/>
      <x:c r="Y73" s="89"/>
      <x:c r="Z73" s="89"/>
    </x:row>
    <x:row r="74">
      <x:c r="A74" s="89"/>
      <x:c r="B74" s="89"/>
      <x:c r="C74" s="89"/>
      <x:c r="D74" s="89"/>
      <x:c r="E74" s="89"/>
      <x:c r="F74" s="89"/>
      <x:c r="G74" s="89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89"/>
      <x:c r="W74" s="89"/>
      <x:c r="X74" s="89"/>
      <x:c r="Y74" s="89"/>
      <x:c r="Z74" s="89"/>
    </x:row>
    <x:row r="75">
      <x:c r="A75" s="89"/>
      <x:c r="B75" s="89"/>
      <x:c r="C75" s="89"/>
      <x:c r="D75" s="89"/>
      <x:c r="E75" s="89"/>
      <x:c r="F75" s="89"/>
      <x:c r="G75" s="89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89"/>
      <x:c r="W75" s="89"/>
      <x:c r="X75" s="89"/>
      <x:c r="Y75" s="89"/>
      <x:c r="Z75" s="89"/>
    </x:row>
    <x:row r="76">
      <x:c r="A76" s="89"/>
      <x:c r="B76" s="89"/>
      <x:c r="C76" s="89"/>
      <x:c r="D76" s="89"/>
      <x:c r="E76" s="89"/>
      <x:c r="F76" s="89"/>
      <x:c r="G76" s="89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89"/>
      <x:c r="W76" s="89"/>
      <x:c r="X76" s="89"/>
      <x:c r="Y76" s="89"/>
      <x:c r="Z76" s="89"/>
    </x:row>
    <x:row r="77">
      <x:c r="A77" s="89"/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89"/>
      <x:c r="W77" s="89"/>
      <x:c r="X77" s="89"/>
      <x:c r="Y77" s="89"/>
      <x:c r="Z77" s="89"/>
    </x:row>
    <x:row r="78">
      <x:c r="A78" s="89"/>
      <x:c r="B78" s="89"/>
      <x:c r="C78" s="89"/>
      <x:c r="D78" s="89"/>
      <x:c r="E78" s="89"/>
      <x:c r="F78" s="89"/>
      <x:c r="G78" s="89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89"/>
      <x:c r="W78" s="89"/>
      <x:c r="X78" s="89"/>
      <x:c r="Y78" s="89"/>
      <x:c r="Z78" s="89"/>
    </x:row>
    <x:row r="79">
      <x:c r="A79" s="89"/>
      <x:c r="B79" s="89"/>
      <x:c r="C79" s="89"/>
      <x:c r="D79" s="89"/>
      <x:c r="E79" s="89"/>
      <x:c r="F79" s="89"/>
      <x:c r="G79" s="89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89"/>
      <x:c r="W79" s="89"/>
      <x:c r="X79" s="89"/>
      <x:c r="Y79" s="89"/>
      <x:c r="Z79" s="89"/>
    </x:row>
    <x:row r="80">
      <x:c r="A80" s="89"/>
      <x:c r="B80" s="89"/>
      <x:c r="C80" s="89"/>
      <x:c r="D80" s="89"/>
      <x:c r="E80" s="89"/>
      <x:c r="F80" s="89"/>
      <x:c r="G80" s="89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89"/>
      <x:c r="W80" s="89"/>
      <x:c r="X80" s="89"/>
      <x:c r="Y80" s="89"/>
      <x:c r="Z80" s="89"/>
    </x:row>
    <x:row r="81">
      <x:c r="A81" s="89"/>
      <x:c r="B81" s="89"/>
      <x:c r="C81" s="89"/>
      <x:c r="D81" s="89"/>
      <x:c r="E81" s="89"/>
      <x:c r="F81" s="89"/>
      <x:c r="G81" s="89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89"/>
      <x:c r="W81" s="89"/>
      <x:c r="X81" s="89"/>
      <x:c r="Y81" s="89"/>
      <x:c r="Z81" s="89"/>
    </x:row>
    <x:row r="82">
      <x:c r="A82" s="89"/>
      <x:c r="B82" s="89"/>
      <x:c r="C82" s="89"/>
      <x:c r="D82" s="89"/>
      <x:c r="E82" s="89"/>
      <x:c r="F82" s="89"/>
      <x:c r="G82" s="89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89"/>
      <x:c r="W82" s="89"/>
      <x:c r="X82" s="89"/>
      <x:c r="Y82" s="89"/>
      <x:c r="Z82" s="89"/>
    </x:row>
    <x:row r="83">
      <x:c r="A83" s="89"/>
      <x:c r="B83" s="89"/>
      <x:c r="C83" s="89"/>
      <x:c r="D83" s="89"/>
      <x:c r="E83" s="89"/>
      <x:c r="F83" s="89"/>
      <x:c r="G83" s="89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89"/>
      <x:c r="W83" s="89"/>
      <x:c r="X83" s="89"/>
      <x:c r="Y83" s="89"/>
      <x:c r="Z83" s="89"/>
    </x:row>
    <x:row r="84">
      <x:c r="A84" s="89"/>
      <x:c r="B84" s="89"/>
      <x:c r="C84" s="89"/>
      <x:c r="D84" s="89"/>
      <x:c r="E84" s="89"/>
      <x:c r="F84" s="89"/>
      <x:c r="G84" s="89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89"/>
      <x:c r="W84" s="89"/>
      <x:c r="X84" s="89"/>
      <x:c r="Y84" s="89"/>
      <x:c r="Z84" s="89"/>
    </x:row>
    <x:row r="85">
      <x:c r="A85" s="89"/>
      <x:c r="B85" s="89"/>
      <x:c r="C85" s="89"/>
      <x:c r="D85" s="89"/>
      <x:c r="E85" s="89"/>
      <x:c r="F85" s="89"/>
      <x:c r="G85" s="89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89"/>
      <x:c r="W85" s="89"/>
      <x:c r="X85" s="89"/>
      <x:c r="Y85" s="89"/>
      <x:c r="Z85" s="89"/>
    </x:row>
    <x:row r="86">
      <x:c r="A86" s="89"/>
      <x:c r="B86" s="89"/>
      <x:c r="C86" s="89"/>
      <x:c r="D86" s="89"/>
      <x:c r="E86" s="89"/>
      <x:c r="F86" s="89"/>
      <x:c r="G86" s="89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89"/>
      <x:c r="W86" s="89"/>
      <x:c r="X86" s="89"/>
      <x:c r="Y86" s="89"/>
      <x:c r="Z86" s="89"/>
    </x:row>
    <x:row r="87">
      <x:c r="A87" s="89"/>
      <x:c r="B87" s="89"/>
      <x:c r="C87" s="89"/>
      <x:c r="D87" s="89"/>
      <x:c r="E87" s="89"/>
      <x:c r="F87" s="89"/>
      <x:c r="G87" s="89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89"/>
      <x:c r="W87" s="89"/>
      <x:c r="X87" s="89"/>
      <x:c r="Y87" s="89"/>
      <x:c r="Z87" s="89"/>
    </x:row>
    <x:row r="88">
      <x:c r="A88" s="89"/>
      <x:c r="B88" s="89"/>
      <x:c r="C88" s="89"/>
      <x:c r="D88" s="89"/>
      <x:c r="E88" s="89"/>
      <x:c r="F88" s="89"/>
      <x:c r="G88" s="89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89"/>
      <x:c r="W88" s="89"/>
      <x:c r="X88" s="89"/>
      <x:c r="Y88" s="89"/>
      <x:c r="Z88" s="89"/>
    </x:row>
    <x:row r="89">
      <x:c r="A89" s="89"/>
      <x:c r="B89" s="89"/>
      <x:c r="C89" s="89"/>
      <x:c r="D89" s="89"/>
      <x:c r="E89" s="89"/>
      <x:c r="F89" s="89"/>
      <x:c r="G89" s="89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89"/>
      <x:c r="W89" s="89"/>
      <x:c r="X89" s="89"/>
      <x:c r="Y89" s="89"/>
      <x:c r="Z89" s="89"/>
    </x:row>
    <x:row r="90">
      <x:c r="A90" s="89"/>
      <x:c r="B90" s="89"/>
      <x:c r="C90" s="89"/>
      <x:c r="D90" s="89"/>
      <x:c r="E90" s="89"/>
      <x:c r="F90" s="89"/>
      <x:c r="G90" s="89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89"/>
      <x:c r="W90" s="89"/>
      <x:c r="X90" s="89"/>
      <x:c r="Y90" s="89"/>
      <x:c r="Z90" s="89"/>
    </x:row>
    <x:row r="91">
      <x:c r="A91" s="89"/>
      <x:c r="B91" s="89"/>
      <x:c r="C91" s="89"/>
      <x:c r="D91" s="89"/>
      <x:c r="E91" s="89"/>
      <x:c r="F91" s="89"/>
      <x:c r="G91" s="89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89"/>
      <x:c r="W91" s="89"/>
      <x:c r="X91" s="89"/>
      <x:c r="Y91" s="89"/>
      <x:c r="Z91" s="89"/>
    </x:row>
    <x:row r="92">
      <x:c r="A92" s="89"/>
      <x:c r="B92" s="89"/>
      <x:c r="C92" s="89"/>
      <x:c r="D92" s="89"/>
      <x:c r="E92" s="89"/>
      <x:c r="F92" s="89"/>
      <x:c r="G92" s="89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89"/>
      <x:c r="W92" s="89"/>
      <x:c r="X92" s="89"/>
      <x:c r="Y92" s="89"/>
      <x:c r="Z92" s="89"/>
    </x:row>
    <x:row r="93">
      <x:c r="A93" s="89"/>
      <x:c r="B93" s="89"/>
      <x:c r="C93" s="89"/>
      <x:c r="D93" s="89"/>
      <x:c r="E93" s="89"/>
      <x:c r="F93" s="89"/>
      <x:c r="G93" s="89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89"/>
      <x:c r="W93" s="89"/>
      <x:c r="X93" s="89"/>
      <x:c r="Y93" s="89"/>
      <x:c r="Z93" s="89"/>
    </x:row>
    <x:row r="94">
      <x:c r="A94" s="89"/>
      <x:c r="B94" s="89"/>
      <x:c r="C94" s="89"/>
      <x:c r="D94" s="89"/>
      <x:c r="E94" s="89"/>
      <x:c r="F94" s="89"/>
      <x:c r="G94" s="89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89"/>
      <x:c r="W94" s="89"/>
      <x:c r="X94" s="89"/>
      <x:c r="Y94" s="89"/>
      <x:c r="Z94" s="89"/>
    </x:row>
    <x:row r="95">
      <x:c r="A95" s="89"/>
      <x:c r="B95" s="89"/>
      <x:c r="C95" s="89"/>
      <x:c r="D95" s="89"/>
      <x:c r="E95" s="89"/>
      <x:c r="F95" s="89"/>
      <x:c r="G95" s="89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89"/>
      <x:c r="W95" s="89"/>
      <x:c r="X95" s="89"/>
      <x:c r="Y95" s="89"/>
      <x:c r="Z95" s="89"/>
    </x:row>
    <x:row r="96">
      <x:c r="A96" s="89"/>
      <x:c r="B96" s="89"/>
      <x:c r="C96" s="89"/>
      <x:c r="D96" s="89"/>
      <x:c r="E96" s="89"/>
      <x:c r="F96" s="89"/>
      <x:c r="G96" s="89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89"/>
      <x:c r="W96" s="89"/>
      <x:c r="X96" s="89"/>
      <x:c r="Y96" s="89"/>
      <x:c r="Z96" s="89"/>
    </x:row>
    <x:row r="97">
      <x:c r="A97" s="89"/>
      <x:c r="B97" s="89"/>
      <x:c r="C97" s="89"/>
      <x:c r="D97" s="89"/>
      <x:c r="E97" s="89"/>
      <x:c r="F97" s="89"/>
      <x:c r="G97" s="89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89"/>
      <x:c r="W97" s="89"/>
      <x:c r="X97" s="89"/>
      <x:c r="Y97" s="89"/>
      <x:c r="Z97" s="89"/>
    </x:row>
    <x:row r="98">
      <x:c r="A98" s="89"/>
      <x:c r="B98" s="89"/>
      <x:c r="C98" s="89"/>
      <x:c r="D98" s="89"/>
      <x:c r="E98" s="89"/>
      <x:c r="F98" s="89"/>
      <x:c r="G98" s="89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89"/>
      <x:c r="W98" s="89"/>
      <x:c r="X98" s="89"/>
      <x:c r="Y98" s="89"/>
      <x:c r="Z98" s="89"/>
    </x:row>
    <x:row r="99">
      <x:c r="A99" s="89"/>
      <x:c r="B99" s="89"/>
      <x:c r="C99" s="89"/>
      <x:c r="D99" s="89"/>
      <x:c r="E99" s="89"/>
      <x:c r="F99" s="89"/>
      <x:c r="G99" s="89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89"/>
      <x:c r="W99" s="89"/>
      <x:c r="X99" s="89"/>
      <x:c r="Y99" s="89"/>
      <x:c r="Z99" s="89"/>
    </x:row>
    <x:row r="100">
      <x:c r="A100" s="89"/>
      <x:c r="B100" s="89"/>
      <x:c r="C100" s="89"/>
      <x:c r="D100" s="89"/>
      <x:c r="E100" s="89"/>
      <x:c r="F100" s="89"/>
      <x:c r="G100" s="89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89"/>
      <x:c r="W100" s="89"/>
      <x:c r="X100" s="89"/>
      <x:c r="Y100" s="89"/>
      <x:c r="Z100" s="89"/>
    </x:row>
    <x:row r="101">
      <x:c r="A101" s="89"/>
      <x:c r="B101" s="89"/>
      <x:c r="C101" s="89"/>
      <x:c r="D101" s="89"/>
      <x:c r="E101" s="89"/>
      <x:c r="F101" s="89"/>
      <x:c r="G101" s="89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89"/>
      <x:c r="W101" s="89"/>
      <x:c r="X101" s="89"/>
      <x:c r="Y101" s="89"/>
      <x:c r="Z101" s="89"/>
    </x:row>
    <x:row r="102">
      <x:c r="A102" s="89"/>
      <x:c r="B102" s="89"/>
      <x:c r="C102" s="89"/>
      <x:c r="D102" s="89"/>
      <x:c r="E102" s="89"/>
      <x:c r="F102" s="89"/>
      <x:c r="G102" s="89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89"/>
      <x:c r="W102" s="89"/>
      <x:c r="X102" s="89"/>
      <x:c r="Y102" s="89"/>
      <x:c r="Z102" s="89"/>
    </x:row>
    <x:row r="103">
      <x:c r="A103" s="89"/>
      <x:c r="B103" s="89"/>
      <x:c r="C103" s="89"/>
      <x:c r="D103" s="89"/>
      <x:c r="E103" s="89"/>
      <x:c r="F103" s="89"/>
      <x:c r="G103" s="89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89"/>
      <x:c r="W103" s="89"/>
      <x:c r="X103" s="89"/>
      <x:c r="Y103" s="89"/>
      <x:c r="Z103" s="89"/>
    </x:row>
    <x:row r="104">
      <x:c r="A104" s="89"/>
      <x:c r="B104" s="89"/>
      <x:c r="C104" s="89"/>
      <x:c r="D104" s="89"/>
      <x:c r="E104" s="89"/>
      <x:c r="F104" s="89"/>
      <x:c r="G104" s="89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89"/>
      <x:c r="W104" s="89"/>
      <x:c r="X104" s="89"/>
      <x:c r="Y104" s="89"/>
      <x:c r="Z104" s="89"/>
    </x:row>
    <x:row r="105">
      <x:c r="A105" s="89"/>
      <x:c r="B105" s="89"/>
      <x:c r="C105" s="89"/>
      <x:c r="D105" s="89"/>
      <x:c r="E105" s="89"/>
      <x:c r="F105" s="89"/>
      <x:c r="G105" s="89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89"/>
      <x:c r="W105" s="89"/>
      <x:c r="X105" s="89"/>
      <x:c r="Y105" s="89"/>
      <x:c r="Z105" s="89"/>
    </x:row>
    <x:row r="106">
      <x:c r="A106" s="89"/>
      <x:c r="B106" s="89"/>
      <x:c r="C106" s="89"/>
      <x:c r="D106" s="89"/>
      <x:c r="E106" s="89"/>
      <x:c r="F106" s="89"/>
      <x:c r="G106" s="89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89"/>
      <x:c r="W106" s="89"/>
      <x:c r="X106" s="89"/>
      <x:c r="Y106" s="89"/>
      <x:c r="Z106" s="89"/>
    </x:row>
    <x:row r="107">
      <x:c r="A107" s="89"/>
      <x:c r="B107" s="89"/>
      <x:c r="C107" s="89"/>
      <x:c r="D107" s="89"/>
      <x:c r="E107" s="89"/>
      <x:c r="F107" s="89"/>
      <x:c r="G107" s="89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89"/>
      <x:c r="W107" s="89"/>
      <x:c r="X107" s="89"/>
      <x:c r="Y107" s="89"/>
      <x:c r="Z107" s="89"/>
    </x:row>
    <x:row r="108">
      <x:c r="A108" s="89"/>
      <x:c r="B108" s="89"/>
      <x:c r="C108" s="89"/>
      <x:c r="D108" s="89"/>
      <x:c r="E108" s="89"/>
      <x:c r="F108" s="89"/>
      <x:c r="G108" s="89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89"/>
      <x:c r="W108" s="89"/>
      <x:c r="X108" s="89"/>
      <x:c r="Y108" s="89"/>
      <x:c r="Z108" s="89"/>
    </x:row>
    <x:row r="109">
      <x:c r="A109" s="89"/>
      <x:c r="B109" s="89"/>
      <x:c r="C109" s="89"/>
      <x:c r="D109" s="89"/>
      <x:c r="E109" s="89"/>
      <x:c r="F109" s="89"/>
      <x:c r="G109" s="89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89"/>
      <x:c r="W109" s="89"/>
      <x:c r="X109" s="89"/>
      <x:c r="Y109" s="89"/>
      <x:c r="Z109" s="89"/>
    </x:row>
    <x:row r="110">
      <x:c r="A110" s="89"/>
      <x:c r="B110" s="89"/>
      <x:c r="C110" s="89"/>
      <x:c r="D110" s="89"/>
      <x:c r="E110" s="89"/>
      <x:c r="F110" s="89"/>
      <x:c r="G110" s="89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89"/>
      <x:c r="W110" s="89"/>
      <x:c r="X110" s="89"/>
      <x:c r="Y110" s="89"/>
      <x:c r="Z110" s="89"/>
    </x:row>
    <x:row r="111">
      <x:c r="A111" s="89"/>
      <x:c r="B111" s="89"/>
      <x:c r="C111" s="89"/>
      <x:c r="D111" s="89"/>
      <x:c r="E111" s="89"/>
      <x:c r="F111" s="89"/>
      <x:c r="G111" s="89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89"/>
      <x:c r="W111" s="89"/>
      <x:c r="X111" s="89"/>
      <x:c r="Y111" s="89"/>
      <x:c r="Z111" s="89"/>
    </x:row>
    <x:row r="112">
      <x:c r="A112" s="89"/>
      <x:c r="B112" s="89"/>
      <x:c r="C112" s="89"/>
      <x:c r="D112" s="89"/>
      <x:c r="E112" s="89"/>
      <x:c r="F112" s="89"/>
      <x:c r="G112" s="89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89"/>
      <x:c r="W112" s="89"/>
      <x:c r="X112" s="89"/>
      <x:c r="Y112" s="89"/>
      <x:c r="Z112" s="89"/>
    </x:row>
    <x:row r="113">
      <x:c r="A113" s="89"/>
      <x:c r="B113" s="89"/>
      <x:c r="C113" s="89"/>
      <x:c r="D113" s="89"/>
      <x:c r="E113" s="89"/>
      <x:c r="F113" s="89"/>
      <x:c r="G113" s="89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89"/>
      <x:c r="W113" s="89"/>
      <x:c r="X113" s="89"/>
      <x:c r="Y113" s="89"/>
      <x:c r="Z113" s="89"/>
    </x:row>
    <x:row r="114">
      <x:c r="A114" s="89"/>
      <x:c r="B114" s="89"/>
      <x:c r="C114" s="89"/>
      <x:c r="D114" s="89"/>
      <x:c r="E114" s="89"/>
      <x:c r="F114" s="89"/>
      <x:c r="G114" s="89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89"/>
      <x:c r="W114" s="89"/>
      <x:c r="X114" s="89"/>
      <x:c r="Y114" s="89"/>
      <x:c r="Z114" s="89"/>
    </x:row>
    <x:row r="115">
      <x:c r="A115" s="89"/>
      <x:c r="B115" s="89"/>
      <x:c r="C115" s="89"/>
      <x:c r="D115" s="89"/>
      <x:c r="E115" s="89"/>
      <x:c r="F115" s="89"/>
      <x:c r="G115" s="89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89"/>
      <x:c r="W115" s="89"/>
      <x:c r="X115" s="89"/>
      <x:c r="Y115" s="89"/>
      <x:c r="Z115" s="89"/>
    </x:row>
    <x:row r="116">
      <x:c r="A116" s="89"/>
      <x:c r="B116" s="89"/>
      <x:c r="C116" s="89"/>
      <x:c r="D116" s="89"/>
      <x:c r="E116" s="89"/>
      <x:c r="F116" s="89"/>
      <x:c r="G116" s="89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89"/>
      <x:c r="W116" s="89"/>
      <x:c r="X116" s="89"/>
      <x:c r="Y116" s="89"/>
      <x:c r="Z116" s="89"/>
    </x:row>
    <x:row r="117">
      <x:c r="A117" s="89"/>
      <x:c r="B117" s="89"/>
      <x:c r="C117" s="89"/>
      <x:c r="D117" s="89"/>
      <x:c r="E117" s="89"/>
      <x:c r="F117" s="89"/>
      <x:c r="G117" s="89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89"/>
      <x:c r="W117" s="89"/>
      <x:c r="X117" s="89"/>
      <x:c r="Y117" s="89"/>
      <x:c r="Z117" s="89"/>
    </x:row>
    <x:row r="118">
      <x:c r="A118" s="89"/>
      <x:c r="B118" s="89"/>
      <x:c r="C118" s="89"/>
      <x:c r="D118" s="89"/>
      <x:c r="E118" s="89"/>
      <x:c r="F118" s="89"/>
      <x:c r="G118" s="89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89"/>
      <x:c r="W118" s="89"/>
      <x:c r="X118" s="89"/>
      <x:c r="Y118" s="89"/>
      <x:c r="Z118" s="89"/>
    </x:row>
    <x:row r="119">
      <x:c r="A119" s="89"/>
      <x:c r="B119" s="89"/>
      <x:c r="C119" s="89"/>
      <x:c r="D119" s="89"/>
      <x:c r="E119" s="89"/>
      <x:c r="F119" s="89"/>
      <x:c r="G119" s="89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89"/>
      <x:c r="W119" s="89"/>
      <x:c r="X119" s="89"/>
      <x:c r="Y119" s="89"/>
      <x:c r="Z119" s="89"/>
    </x:row>
    <x:row r="120">
      <x:c r="A120" s="89"/>
      <x:c r="B120" s="89"/>
      <x:c r="C120" s="89"/>
      <x:c r="D120" s="89"/>
      <x:c r="E120" s="89"/>
      <x:c r="F120" s="89"/>
      <x:c r="G120" s="89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89"/>
      <x:c r="W120" s="89"/>
      <x:c r="X120" s="89"/>
      <x:c r="Y120" s="89"/>
      <x:c r="Z120" s="89"/>
    </x:row>
    <x:row r="121">
      <x:c r="A121" s="89"/>
      <x:c r="B121" s="89"/>
      <x:c r="C121" s="89"/>
      <x:c r="D121" s="89"/>
      <x:c r="E121" s="89"/>
      <x:c r="F121" s="89"/>
      <x:c r="G121" s="89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89"/>
      <x:c r="W121" s="89"/>
      <x:c r="X121" s="89"/>
      <x:c r="Y121" s="89"/>
      <x:c r="Z121" s="89"/>
    </x:row>
    <x:row r="122">
      <x:c r="A122" s="89"/>
      <x:c r="B122" s="89"/>
      <x:c r="C122" s="89"/>
      <x:c r="D122" s="89"/>
      <x:c r="E122" s="89"/>
      <x:c r="F122" s="89"/>
      <x:c r="G122" s="89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89"/>
      <x:c r="W122" s="89"/>
      <x:c r="X122" s="89"/>
      <x:c r="Y122" s="89"/>
      <x:c r="Z122" s="89"/>
    </x:row>
    <x:row r="123">
      <x:c r="A123" s="89"/>
      <x:c r="B123" s="89"/>
      <x:c r="C123" s="89"/>
      <x:c r="D123" s="89"/>
      <x:c r="E123" s="89"/>
      <x:c r="F123" s="89"/>
      <x:c r="G123" s="89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89"/>
      <x:c r="W123" s="89"/>
      <x:c r="X123" s="89"/>
      <x:c r="Y123" s="89"/>
      <x:c r="Z123" s="89"/>
    </x:row>
    <x:row r="124">
      <x:c r="A124" s="89"/>
      <x:c r="B124" s="89"/>
      <x:c r="C124" s="89"/>
      <x:c r="D124" s="89"/>
      <x:c r="E124" s="89"/>
      <x:c r="F124" s="89"/>
      <x:c r="G124" s="89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89"/>
      <x:c r="W124" s="89"/>
      <x:c r="X124" s="89"/>
      <x:c r="Y124" s="89"/>
      <x:c r="Z124" s="89"/>
    </x:row>
    <x:row r="125">
      <x:c r="A125" s="89"/>
      <x:c r="B125" s="89"/>
      <x:c r="C125" s="89"/>
      <x:c r="D125" s="89"/>
      <x:c r="E125" s="89"/>
      <x:c r="F125" s="89"/>
      <x:c r="G125" s="89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89"/>
      <x:c r="W125" s="89"/>
      <x:c r="X125" s="89"/>
      <x:c r="Y125" s="89"/>
      <x:c r="Z125" s="89"/>
    </x:row>
    <x:row r="126">
      <x:c r="A126" s="89"/>
      <x:c r="B126" s="89"/>
      <x:c r="C126" s="89"/>
      <x:c r="D126" s="89"/>
      <x:c r="E126" s="89"/>
      <x:c r="F126" s="89"/>
      <x:c r="G126" s="89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89"/>
      <x:c r="W126" s="89"/>
      <x:c r="X126" s="89"/>
      <x:c r="Y126" s="89"/>
      <x:c r="Z126" s="89"/>
    </x:row>
    <x:row r="127">
      <x:c r="A127" s="89"/>
      <x:c r="B127" s="89"/>
      <x:c r="C127" s="89"/>
      <x:c r="D127" s="89"/>
      <x:c r="E127" s="89"/>
      <x:c r="F127" s="89"/>
      <x:c r="G127" s="89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89"/>
      <x:c r="W127" s="89"/>
      <x:c r="X127" s="89"/>
      <x:c r="Y127" s="89"/>
      <x:c r="Z127" s="89"/>
    </x:row>
    <x:row r="128">
      <x:c r="A128" s="89"/>
      <x:c r="B128" s="89"/>
      <x:c r="C128" s="89"/>
      <x:c r="D128" s="89"/>
      <x:c r="E128" s="89"/>
      <x:c r="F128" s="89"/>
      <x:c r="G128" s="89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89"/>
      <x:c r="W128" s="89"/>
      <x:c r="X128" s="89"/>
      <x:c r="Y128" s="89"/>
      <x:c r="Z128" s="89"/>
    </x:row>
    <x:row r="129">
      <x:c r="A129" s="89"/>
      <x:c r="B129" s="89"/>
      <x:c r="C129" s="89"/>
      <x:c r="D129" s="89"/>
      <x:c r="E129" s="89"/>
      <x:c r="F129" s="89"/>
      <x:c r="G129" s="89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89"/>
      <x:c r="W129" s="89"/>
      <x:c r="X129" s="89"/>
      <x:c r="Y129" s="89"/>
      <x:c r="Z129" s="89"/>
    </x:row>
    <x:row r="130">
      <x:c r="A130" s="89"/>
      <x:c r="B130" s="89"/>
      <x:c r="C130" s="89"/>
      <x:c r="D130" s="89"/>
      <x:c r="E130" s="89"/>
      <x:c r="F130" s="89"/>
      <x:c r="G130" s="89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89"/>
      <x:c r="W130" s="89"/>
      <x:c r="X130" s="89"/>
      <x:c r="Y130" s="89"/>
      <x:c r="Z130" s="89"/>
    </x:row>
    <x:row r="131">
      <x:c r="A131" s="89"/>
      <x:c r="B131" s="89"/>
      <x:c r="C131" s="89"/>
      <x:c r="D131" s="89"/>
      <x:c r="E131" s="89"/>
      <x:c r="F131" s="89"/>
      <x:c r="G131" s="89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89"/>
      <x:c r="W131" s="89"/>
      <x:c r="X131" s="89"/>
      <x:c r="Y131" s="89"/>
      <x:c r="Z131" s="89"/>
    </x:row>
    <x:row r="132">
      <x:c r="A132" s="89"/>
      <x:c r="B132" s="89"/>
      <x:c r="C132" s="89"/>
      <x:c r="D132" s="89"/>
      <x:c r="E132" s="89"/>
      <x:c r="F132" s="89"/>
      <x:c r="G132" s="89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89"/>
      <x:c r="W132" s="89"/>
      <x:c r="X132" s="89"/>
      <x:c r="Y132" s="89"/>
      <x:c r="Z132" s="89"/>
    </x:row>
    <x:row r="133">
      <x:c r="A133" s="89"/>
      <x:c r="B133" s="89"/>
      <x:c r="C133" s="89"/>
      <x:c r="D133" s="89"/>
      <x:c r="E133" s="89"/>
      <x:c r="F133" s="89"/>
      <x:c r="G133" s="89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89"/>
      <x:c r="W133" s="89"/>
      <x:c r="X133" s="89"/>
      <x:c r="Y133" s="89"/>
      <x:c r="Z133" s="89"/>
    </x:row>
    <x:row r="134">
      <x:c r="A134" s="89"/>
      <x:c r="B134" s="89"/>
      <x:c r="C134" s="89"/>
      <x:c r="D134" s="89"/>
      <x:c r="E134" s="89"/>
      <x:c r="F134" s="89"/>
      <x:c r="G134" s="89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89"/>
      <x:c r="W134" s="89"/>
      <x:c r="X134" s="89"/>
      <x:c r="Y134" s="89"/>
      <x:c r="Z134" s="89"/>
    </x:row>
    <x:row r="135">
      <x:c r="A135" s="89"/>
      <x:c r="B135" s="89"/>
      <x:c r="C135" s="89"/>
      <x:c r="D135" s="89"/>
      <x:c r="E135" s="89"/>
      <x:c r="F135" s="89"/>
      <x:c r="G135" s="89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89"/>
      <x:c r="W135" s="89"/>
      <x:c r="X135" s="89"/>
      <x:c r="Y135" s="89"/>
      <x:c r="Z135" s="89"/>
    </x:row>
    <x:row r="136">
      <x:c r="A136" s="89"/>
      <x:c r="B136" s="89"/>
      <x:c r="C136" s="89"/>
      <x:c r="D136" s="89"/>
      <x:c r="E136" s="89"/>
      <x:c r="F136" s="89"/>
      <x:c r="G136" s="89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89"/>
      <x:c r="W136" s="89"/>
      <x:c r="X136" s="89"/>
      <x:c r="Y136" s="89"/>
      <x:c r="Z136" s="89"/>
    </x:row>
    <x:row r="137">
      <x:c r="A137" s="89"/>
      <x:c r="B137" s="89"/>
      <x:c r="C137" s="89"/>
      <x:c r="D137" s="89"/>
      <x:c r="E137" s="89"/>
      <x:c r="F137" s="89"/>
      <x:c r="G137" s="89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89"/>
      <x:c r="W137" s="89"/>
      <x:c r="X137" s="89"/>
      <x:c r="Y137" s="89"/>
      <x:c r="Z137" s="89"/>
    </x:row>
    <x:row r="138">
      <x:c r="A138" s="89"/>
      <x:c r="B138" s="89"/>
      <x:c r="C138" s="89"/>
      <x:c r="D138" s="89"/>
      <x:c r="E138" s="89"/>
      <x:c r="F138" s="89"/>
      <x:c r="G138" s="89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89"/>
      <x:c r="W138" s="89"/>
      <x:c r="X138" s="89"/>
      <x:c r="Y138" s="89"/>
      <x:c r="Z138" s="89"/>
    </x:row>
    <x:row r="139">
      <x:c r="A139" s="89"/>
      <x:c r="B139" s="89"/>
      <x:c r="C139" s="89"/>
      <x:c r="D139" s="89"/>
      <x:c r="E139" s="89"/>
      <x:c r="F139" s="89"/>
      <x:c r="G139" s="89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89"/>
      <x:c r="W139" s="89"/>
      <x:c r="X139" s="89"/>
      <x:c r="Y139" s="89"/>
      <x:c r="Z139" s="89"/>
    </x:row>
    <x:row r="140">
      <x:c r="A140" s="89"/>
      <x:c r="B140" s="89"/>
      <x:c r="C140" s="89"/>
      <x:c r="D140" s="89"/>
      <x:c r="E140" s="89"/>
      <x:c r="F140" s="89"/>
      <x:c r="G140" s="89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89"/>
      <x:c r="W140" s="89"/>
      <x:c r="X140" s="89"/>
      <x:c r="Y140" s="89"/>
      <x:c r="Z140" s="89"/>
    </x:row>
    <x:row r="141">
      <x:c r="A141" s="89"/>
      <x:c r="B141" s="89"/>
      <x:c r="C141" s="89"/>
      <x:c r="D141" s="89"/>
      <x:c r="E141" s="89"/>
      <x:c r="F141" s="89"/>
      <x:c r="G141" s="89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89"/>
      <x:c r="W141" s="89"/>
      <x:c r="X141" s="89"/>
      <x:c r="Y141" s="89"/>
      <x:c r="Z141" s="89"/>
    </x:row>
    <x:row r="142">
      <x:c r="A142" s="89"/>
      <x:c r="B142" s="89"/>
      <x:c r="C142" s="89"/>
      <x:c r="D142" s="89"/>
      <x:c r="E142" s="89"/>
      <x:c r="F142" s="89"/>
      <x:c r="G142" s="89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89"/>
      <x:c r="W142" s="89"/>
      <x:c r="X142" s="89"/>
      <x:c r="Y142" s="89"/>
      <x:c r="Z142" s="89"/>
    </x:row>
    <x:row r="143">
      <x:c r="A143" s="89"/>
      <x:c r="B143" s="89"/>
      <x:c r="C143" s="89"/>
      <x:c r="D143" s="89"/>
      <x:c r="E143" s="89"/>
      <x:c r="F143" s="89"/>
      <x:c r="G143" s="89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89"/>
      <x:c r="W143" s="89"/>
      <x:c r="X143" s="89"/>
      <x:c r="Y143" s="89"/>
      <x:c r="Z143" s="89"/>
    </x:row>
    <x:row r="144">
      <x:c r="A144" s="89"/>
      <x:c r="B144" s="89"/>
      <x:c r="C144" s="89"/>
      <x:c r="D144" s="89"/>
      <x:c r="E144" s="89"/>
      <x:c r="F144" s="89"/>
      <x:c r="G144" s="89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89"/>
      <x:c r="W144" s="89"/>
      <x:c r="X144" s="89"/>
      <x:c r="Y144" s="89"/>
      <x:c r="Z144" s="89"/>
    </x:row>
    <x:row r="145">
      <x:c r="A145" s="89"/>
      <x:c r="B145" s="89"/>
      <x:c r="C145" s="89"/>
      <x:c r="D145" s="89"/>
      <x:c r="E145" s="89"/>
      <x:c r="F145" s="89"/>
      <x:c r="G145" s="89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89"/>
      <x:c r="W145" s="89"/>
      <x:c r="X145" s="89"/>
      <x:c r="Y145" s="89"/>
      <x:c r="Z145" s="89"/>
    </x:row>
    <x:row r="146">
      <x:c r="A146" s="89"/>
      <x:c r="B146" s="89"/>
      <x:c r="C146" s="89"/>
      <x:c r="D146" s="89"/>
      <x:c r="E146" s="89"/>
      <x:c r="F146" s="89"/>
      <x:c r="G146" s="89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89"/>
      <x:c r="W146" s="89"/>
      <x:c r="X146" s="89"/>
      <x:c r="Y146" s="89"/>
      <x:c r="Z146" s="89"/>
    </x:row>
    <x:row r="147">
      <x:c r="A147" s="89"/>
      <x:c r="B147" s="89"/>
      <x:c r="C147" s="89"/>
      <x:c r="D147" s="89"/>
      <x:c r="E147" s="89"/>
      <x:c r="F147" s="89"/>
      <x:c r="G147" s="89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89"/>
      <x:c r="W147" s="89"/>
      <x:c r="X147" s="89"/>
      <x:c r="Y147" s="89"/>
      <x:c r="Z147" s="89"/>
    </x:row>
    <x:row r="148">
      <x:c r="A148" s="89"/>
      <x:c r="B148" s="89"/>
      <x:c r="C148" s="89"/>
      <x:c r="D148" s="89"/>
      <x:c r="E148" s="89"/>
      <x:c r="F148" s="89"/>
      <x:c r="G148" s="89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89"/>
      <x:c r="W148" s="89"/>
      <x:c r="X148" s="89"/>
      <x:c r="Y148" s="89"/>
      <x:c r="Z148" s="89"/>
    </x:row>
    <x:row r="149">
      <x:c r="A149" s="89"/>
      <x:c r="B149" s="89"/>
      <x:c r="C149" s="89"/>
      <x:c r="D149" s="89"/>
      <x:c r="E149" s="89"/>
      <x:c r="F149" s="89"/>
      <x:c r="G149" s="89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89"/>
      <x:c r="W149" s="89"/>
      <x:c r="X149" s="89"/>
      <x:c r="Y149" s="89"/>
      <x:c r="Z149" s="89"/>
    </x:row>
    <x:row r="150">
      <x:c r="A150" s="89"/>
      <x:c r="B150" s="89"/>
      <x:c r="C150" s="89"/>
      <x:c r="D150" s="89"/>
      <x:c r="E150" s="89"/>
      <x:c r="F150" s="89"/>
      <x:c r="G150" s="89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89"/>
      <x:c r="W150" s="89"/>
      <x:c r="X150" s="89"/>
      <x:c r="Y150" s="89"/>
      <x:c r="Z150" s="89"/>
    </x:row>
    <x:row r="151">
      <x:c r="A151" s="89"/>
      <x:c r="B151" s="89"/>
      <x:c r="C151" s="89"/>
      <x:c r="D151" s="89"/>
      <x:c r="E151" s="89"/>
      <x:c r="F151" s="89"/>
      <x:c r="G151" s="89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89"/>
      <x:c r="W151" s="89"/>
      <x:c r="X151" s="89"/>
      <x:c r="Y151" s="89"/>
      <x:c r="Z151" s="89"/>
    </x:row>
    <x:row r="152">
      <x:c r="A152" s="89"/>
      <x:c r="B152" s="89"/>
      <x:c r="C152" s="89"/>
      <x:c r="D152" s="89"/>
      <x:c r="E152" s="89"/>
      <x:c r="F152" s="89"/>
      <x:c r="G152" s="89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89"/>
      <x:c r="W152" s="89"/>
      <x:c r="X152" s="89"/>
      <x:c r="Y152" s="89"/>
      <x:c r="Z152" s="89"/>
    </x:row>
    <x:row r="153">
      <x:c r="A153" s="89"/>
      <x:c r="B153" s="89"/>
      <x:c r="C153" s="89"/>
      <x:c r="D153" s="89"/>
      <x:c r="E153" s="89"/>
      <x:c r="F153" s="89"/>
      <x:c r="G153" s="89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89"/>
      <x:c r="W153" s="89"/>
      <x:c r="X153" s="89"/>
      <x:c r="Y153" s="89"/>
      <x:c r="Z153" s="89"/>
    </x:row>
    <x:row r="154">
      <x:c r="A154" s="89"/>
      <x:c r="B154" s="89"/>
      <x:c r="C154" s="89"/>
      <x:c r="D154" s="89"/>
      <x:c r="E154" s="89"/>
      <x:c r="F154" s="89"/>
      <x:c r="G154" s="89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89"/>
      <x:c r="W154" s="89"/>
      <x:c r="X154" s="89"/>
      <x:c r="Y154" s="89"/>
      <x:c r="Z154" s="89"/>
    </x:row>
    <x:row r="155">
      <x:c r="A155" s="89"/>
      <x:c r="B155" s="89"/>
      <x:c r="C155" s="89"/>
      <x:c r="D155" s="89"/>
      <x:c r="E155" s="89"/>
      <x:c r="F155" s="89"/>
      <x:c r="G155" s="89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89"/>
      <x:c r="W155" s="89"/>
      <x:c r="X155" s="89"/>
      <x:c r="Y155" s="89"/>
      <x:c r="Z155" s="89"/>
    </x:row>
    <x:row r="156">
      <x:c r="A156" s="89"/>
      <x:c r="B156" s="89"/>
      <x:c r="C156" s="89"/>
      <x:c r="D156" s="89"/>
      <x:c r="E156" s="89"/>
      <x:c r="F156" s="89"/>
      <x:c r="G156" s="89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89"/>
      <x:c r="W156" s="89"/>
      <x:c r="X156" s="89"/>
      <x:c r="Y156" s="89"/>
      <x:c r="Z156" s="89"/>
    </x:row>
    <x:row r="157">
      <x:c r="A157" s="89"/>
      <x:c r="B157" s="89"/>
      <x:c r="C157" s="89"/>
      <x:c r="D157" s="89"/>
      <x:c r="E157" s="89"/>
      <x:c r="F157" s="89"/>
      <x:c r="G157" s="89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89"/>
      <x:c r="W157" s="89"/>
      <x:c r="X157" s="89"/>
      <x:c r="Y157" s="89"/>
      <x:c r="Z157" s="89"/>
    </x:row>
    <x:row r="158">
      <x:c r="A158" s="89"/>
      <x:c r="B158" s="89"/>
      <x:c r="C158" s="89"/>
      <x:c r="D158" s="89"/>
      <x:c r="E158" s="89"/>
      <x:c r="F158" s="89"/>
      <x:c r="G158" s="89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89"/>
      <x:c r="W158" s="89"/>
      <x:c r="X158" s="89"/>
      <x:c r="Y158" s="89"/>
      <x:c r="Z158" s="89"/>
    </x:row>
    <x:row r="159">
      <x:c r="A159" s="89"/>
      <x:c r="B159" s="89"/>
      <x:c r="C159" s="89"/>
      <x:c r="D159" s="89"/>
      <x:c r="E159" s="89"/>
      <x:c r="F159" s="89"/>
      <x:c r="G159" s="89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89"/>
      <x:c r="W159" s="89"/>
      <x:c r="X159" s="89"/>
      <x:c r="Y159" s="89"/>
      <x:c r="Z159" s="89"/>
    </x:row>
    <x:row r="160">
      <x:c r="A160" s="89"/>
      <x:c r="B160" s="89"/>
      <x:c r="C160" s="89"/>
      <x:c r="D160" s="89"/>
      <x:c r="E160" s="89"/>
      <x:c r="F160" s="89"/>
      <x:c r="G160" s="89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89"/>
      <x:c r="W160" s="89"/>
      <x:c r="X160" s="89"/>
      <x:c r="Y160" s="89"/>
      <x:c r="Z160" s="89"/>
    </x:row>
    <x:row r="161">
      <x:c r="A161" s="89"/>
      <x:c r="B161" s="89"/>
      <x:c r="C161" s="89"/>
      <x:c r="D161" s="89"/>
      <x:c r="E161" s="89"/>
      <x:c r="F161" s="89"/>
      <x:c r="G161" s="89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89"/>
      <x:c r="W161" s="89"/>
      <x:c r="X161" s="89"/>
      <x:c r="Y161" s="89"/>
      <x:c r="Z161" s="89"/>
    </x:row>
    <x:row r="162">
      <x:c r="A162" s="89"/>
      <x:c r="B162" s="89"/>
      <x:c r="C162" s="89"/>
      <x:c r="D162" s="89"/>
      <x:c r="E162" s="89"/>
      <x:c r="F162" s="89"/>
      <x:c r="G162" s="89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89"/>
      <x:c r="W162" s="89"/>
      <x:c r="X162" s="89"/>
      <x:c r="Y162" s="89"/>
      <x:c r="Z162" s="89"/>
    </x:row>
    <x:row r="163">
      <x:c r="A163" s="89"/>
      <x:c r="B163" s="89"/>
      <x:c r="C163" s="89"/>
      <x:c r="D163" s="89"/>
      <x:c r="E163" s="89"/>
      <x:c r="F163" s="89"/>
      <x:c r="G163" s="89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89"/>
      <x:c r="W163" s="89"/>
      <x:c r="X163" s="89"/>
      <x:c r="Y163" s="89"/>
      <x:c r="Z163" s="89"/>
    </x:row>
    <x:row r="164">
      <x:c r="A164" s="89"/>
      <x:c r="B164" s="89"/>
      <x:c r="C164" s="89"/>
      <x:c r="D164" s="89"/>
      <x:c r="E164" s="89"/>
      <x:c r="F164" s="89"/>
      <x:c r="G164" s="89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89"/>
      <x:c r="W164" s="89"/>
      <x:c r="X164" s="89"/>
      <x:c r="Y164" s="89"/>
      <x:c r="Z164" s="89"/>
    </x:row>
    <x:row r="165">
      <x:c r="A165" s="89"/>
      <x:c r="B165" s="89"/>
      <x:c r="C165" s="89"/>
      <x:c r="D165" s="89"/>
      <x:c r="E165" s="89"/>
      <x:c r="F165" s="89"/>
      <x:c r="G165" s="89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89"/>
      <x:c r="W165" s="89"/>
      <x:c r="X165" s="89"/>
      <x:c r="Y165" s="89"/>
      <x:c r="Z165" s="89"/>
    </x:row>
    <x:row r="166">
      <x:c r="A166" s="89"/>
      <x:c r="B166" s="89"/>
      <x:c r="C166" s="89"/>
      <x:c r="D166" s="89"/>
      <x:c r="E166" s="89"/>
      <x:c r="F166" s="89"/>
      <x:c r="G166" s="89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89"/>
      <x:c r="W166" s="89"/>
      <x:c r="X166" s="89"/>
      <x:c r="Y166" s="89"/>
      <x:c r="Z166" s="89"/>
    </x:row>
    <x:row r="167">
      <x:c r="A167" s="89"/>
      <x:c r="B167" s="89"/>
      <x:c r="C167" s="89"/>
      <x:c r="D167" s="89"/>
      <x:c r="E167" s="89"/>
      <x:c r="F167" s="89"/>
      <x:c r="G167" s="89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89"/>
      <x:c r="W167" s="89"/>
      <x:c r="X167" s="89"/>
      <x:c r="Y167" s="89"/>
      <x:c r="Z167" s="89"/>
    </x:row>
    <x:row r="168">
      <x:c r="A168" s="89"/>
      <x:c r="B168" s="89"/>
      <x:c r="C168" s="89"/>
      <x:c r="D168" s="89"/>
      <x:c r="E168" s="89"/>
      <x:c r="F168" s="89"/>
      <x:c r="G168" s="89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89"/>
      <x:c r="W168" s="89"/>
      <x:c r="X168" s="89"/>
      <x:c r="Y168" s="89"/>
      <x:c r="Z168" s="89"/>
    </x:row>
    <x:row r="169">
      <x:c r="A169" s="89"/>
      <x:c r="B169" s="89"/>
      <x:c r="C169" s="89"/>
      <x:c r="D169" s="89"/>
      <x:c r="E169" s="89"/>
      <x:c r="F169" s="89"/>
      <x:c r="G169" s="89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89"/>
      <x:c r="W169" s="89"/>
      <x:c r="X169" s="89"/>
      <x:c r="Y169" s="89"/>
      <x:c r="Z169" s="89"/>
    </x:row>
    <x:row r="170">
      <x:c r="A170" s="89"/>
      <x:c r="B170" s="89"/>
      <x:c r="C170" s="89"/>
      <x:c r="D170" s="89"/>
      <x:c r="E170" s="89"/>
      <x:c r="F170" s="89"/>
      <x:c r="G170" s="89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89"/>
      <x:c r="W170" s="89"/>
      <x:c r="X170" s="89"/>
      <x:c r="Y170" s="89"/>
      <x:c r="Z170" s="89"/>
    </x:row>
    <x:row r="171">
      <x:c r="A171" s="89"/>
      <x:c r="B171" s="89"/>
      <x:c r="C171" s="89"/>
      <x:c r="D171" s="89"/>
      <x:c r="E171" s="89"/>
      <x:c r="F171" s="89"/>
      <x:c r="G171" s="89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89"/>
      <x:c r="W171" s="89"/>
      <x:c r="X171" s="89"/>
      <x:c r="Y171" s="89"/>
      <x:c r="Z171" s="89"/>
    </x:row>
    <x:row r="172">
      <x:c r="A172" s="89"/>
      <x:c r="B172" s="89"/>
      <x:c r="C172" s="89"/>
      <x:c r="D172" s="89"/>
      <x:c r="E172" s="89"/>
      <x:c r="F172" s="89"/>
      <x:c r="G172" s="89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89"/>
      <x:c r="W172" s="89"/>
      <x:c r="X172" s="89"/>
      <x:c r="Y172" s="89"/>
      <x:c r="Z172" s="89"/>
    </x:row>
    <x:row r="173">
      <x:c r="A173" s="89"/>
      <x:c r="B173" s="89"/>
      <x:c r="C173" s="89"/>
      <x:c r="D173" s="89"/>
      <x:c r="E173" s="89"/>
      <x:c r="F173" s="89"/>
      <x:c r="G173" s="89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89"/>
      <x:c r="W173" s="89"/>
      <x:c r="X173" s="89"/>
      <x:c r="Y173" s="89"/>
      <x:c r="Z173" s="89"/>
    </x:row>
    <x:row r="174">
      <x:c r="A174" s="89"/>
      <x:c r="B174" s="89"/>
      <x:c r="C174" s="89"/>
      <x:c r="D174" s="89"/>
      <x:c r="E174" s="89"/>
      <x:c r="F174" s="89"/>
      <x:c r="G174" s="89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89"/>
      <x:c r="W174" s="89"/>
      <x:c r="X174" s="89"/>
      <x:c r="Y174" s="89"/>
      <x:c r="Z174" s="89"/>
    </x:row>
    <x:row r="175">
      <x:c r="A175" s="89"/>
      <x:c r="B175" s="89"/>
      <x:c r="C175" s="89"/>
      <x:c r="D175" s="89"/>
      <x:c r="E175" s="89"/>
      <x:c r="F175" s="89"/>
      <x:c r="G175" s="89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89"/>
      <x:c r="W175" s="89"/>
      <x:c r="X175" s="89"/>
      <x:c r="Y175" s="89"/>
      <x:c r="Z175" s="89"/>
    </x:row>
    <x:row r="176">
      <x:c r="A176" s="89"/>
      <x:c r="B176" s="89"/>
      <x:c r="C176" s="89"/>
      <x:c r="D176" s="89"/>
      <x:c r="E176" s="89"/>
      <x:c r="F176" s="89"/>
      <x:c r="G176" s="89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89"/>
      <x:c r="W176" s="89"/>
      <x:c r="X176" s="89"/>
      <x:c r="Y176" s="89"/>
      <x:c r="Z176" s="89"/>
    </x:row>
    <x:row r="177">
      <x:c r="A177" s="89"/>
      <x:c r="B177" s="89"/>
      <x:c r="C177" s="89"/>
      <x:c r="D177" s="89"/>
      <x:c r="E177" s="89"/>
      <x:c r="F177" s="89"/>
      <x:c r="G177" s="89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89"/>
      <x:c r="W177" s="89"/>
      <x:c r="X177" s="89"/>
      <x:c r="Y177" s="89"/>
      <x:c r="Z177" s="89"/>
    </x:row>
    <x:row r="178">
      <x:c r="A178" s="89"/>
      <x:c r="B178" s="89"/>
      <x:c r="C178" s="89"/>
      <x:c r="D178" s="89"/>
      <x:c r="E178" s="89"/>
      <x:c r="F178" s="89"/>
      <x:c r="G178" s="89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89"/>
      <x:c r="W178" s="89"/>
      <x:c r="X178" s="89"/>
      <x:c r="Y178" s="89"/>
      <x:c r="Z178" s="89"/>
    </x:row>
    <x:row r="179">
      <x:c r="A179" s="89"/>
      <x:c r="B179" s="89"/>
      <x:c r="C179" s="89"/>
      <x:c r="D179" s="89"/>
      <x:c r="E179" s="89"/>
      <x:c r="F179" s="89"/>
      <x:c r="G179" s="89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89"/>
      <x:c r="W179" s="89"/>
      <x:c r="X179" s="89"/>
      <x:c r="Y179" s="89"/>
      <x:c r="Z179" s="89"/>
    </x:row>
    <x:row r="180">
      <x:c r="A180" s="89"/>
      <x:c r="B180" s="89"/>
      <x:c r="C180" s="89"/>
      <x:c r="D180" s="89"/>
      <x:c r="E180" s="89"/>
      <x:c r="F180" s="89"/>
      <x:c r="G180" s="89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89"/>
      <x:c r="W180" s="89"/>
      <x:c r="X180" s="89"/>
      <x:c r="Y180" s="89"/>
      <x:c r="Z180" s="89"/>
    </x:row>
    <x:row r="181">
      <x:c r="A181" s="89"/>
      <x:c r="B181" s="89"/>
      <x:c r="C181" s="89"/>
      <x:c r="D181" s="89"/>
      <x:c r="E181" s="89"/>
      <x:c r="F181" s="89"/>
      <x:c r="G181" s="89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89"/>
      <x:c r="W181" s="89"/>
      <x:c r="X181" s="89"/>
      <x:c r="Y181" s="89"/>
      <x:c r="Z181" s="89"/>
    </x:row>
    <x:row r="182">
      <x:c r="A182" s="89"/>
      <x:c r="B182" s="89"/>
      <x:c r="C182" s="89"/>
      <x:c r="D182" s="89"/>
      <x:c r="E182" s="89"/>
      <x:c r="F182" s="89"/>
      <x:c r="G182" s="89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89"/>
      <x:c r="W182" s="89"/>
      <x:c r="X182" s="89"/>
      <x:c r="Y182" s="89"/>
      <x:c r="Z182" s="89"/>
    </x:row>
    <x:row r="183">
      <x:c r="A183" s="89"/>
      <x:c r="B183" s="89"/>
      <x:c r="C183" s="89"/>
      <x:c r="D183" s="89"/>
      <x:c r="E183" s="89"/>
      <x:c r="F183" s="89"/>
      <x:c r="G183" s="89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89"/>
      <x:c r="W183" s="89"/>
      <x:c r="X183" s="89"/>
      <x:c r="Y183" s="89"/>
      <x:c r="Z183" s="89"/>
    </x:row>
    <x:row r="184">
      <x:c r="A184" s="89"/>
      <x:c r="B184" s="89"/>
      <x:c r="C184" s="89"/>
      <x:c r="D184" s="89"/>
      <x:c r="E184" s="89"/>
      <x:c r="F184" s="89"/>
      <x:c r="G184" s="89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89"/>
      <x:c r="W184" s="89"/>
      <x:c r="X184" s="89"/>
      <x:c r="Y184" s="89"/>
      <x:c r="Z184" s="89"/>
    </x:row>
    <x:row r="185">
      <x:c r="A185" s="89"/>
      <x:c r="B185" s="89"/>
      <x:c r="C185" s="89"/>
      <x:c r="D185" s="89"/>
      <x:c r="E185" s="89"/>
      <x:c r="F185" s="89"/>
      <x:c r="G185" s="89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89"/>
      <x:c r="W185" s="89"/>
      <x:c r="X185" s="89"/>
      <x:c r="Y185" s="89"/>
      <x:c r="Z185" s="89"/>
    </x:row>
    <x:row r="186">
      <x:c r="A186" s="89"/>
      <x:c r="B186" s="89"/>
      <x:c r="C186" s="89"/>
      <x:c r="D186" s="89"/>
      <x:c r="E186" s="89"/>
      <x:c r="F186" s="89"/>
      <x:c r="G186" s="89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89"/>
      <x:c r="W186" s="89"/>
      <x:c r="X186" s="89"/>
      <x:c r="Y186" s="89"/>
      <x:c r="Z186" s="89"/>
    </x:row>
    <x:row r="187">
      <x:c r="A187" s="89"/>
      <x:c r="B187" s="89"/>
      <x:c r="C187" s="89"/>
      <x:c r="D187" s="89"/>
      <x:c r="E187" s="89"/>
      <x:c r="F187" s="89"/>
      <x:c r="G187" s="89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89"/>
      <x:c r="W187" s="89"/>
      <x:c r="X187" s="89"/>
      <x:c r="Y187" s="89"/>
      <x:c r="Z187" s="89"/>
    </x:row>
    <x:row r="188">
      <x:c r="A188" s="89"/>
      <x:c r="B188" s="89"/>
      <x:c r="C188" s="89"/>
      <x:c r="D188" s="89"/>
      <x:c r="E188" s="89"/>
      <x:c r="F188" s="89"/>
      <x:c r="G188" s="89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89"/>
      <x:c r="W188" s="89"/>
      <x:c r="X188" s="89"/>
      <x:c r="Y188" s="89"/>
      <x:c r="Z188" s="89"/>
    </x:row>
    <x:row r="189">
      <x:c r="A189" s="89"/>
      <x:c r="B189" s="89"/>
      <x:c r="C189" s="89"/>
      <x:c r="D189" s="89"/>
      <x:c r="E189" s="89"/>
      <x:c r="F189" s="89"/>
      <x:c r="G189" s="89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89"/>
      <x:c r="W189" s="89"/>
      <x:c r="X189" s="89"/>
      <x:c r="Y189" s="89"/>
      <x:c r="Z189" s="89"/>
    </x:row>
    <x:row r="190">
      <x:c r="A190" s="89"/>
      <x:c r="B190" s="89"/>
      <x:c r="C190" s="89"/>
      <x:c r="D190" s="89"/>
      <x:c r="E190" s="89"/>
      <x:c r="F190" s="89"/>
      <x:c r="G190" s="89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89"/>
      <x:c r="W190" s="89"/>
      <x:c r="X190" s="89"/>
      <x:c r="Y190" s="89"/>
      <x:c r="Z190" s="89"/>
    </x:row>
    <x:row r="191">
      <x:c r="A191" s="89"/>
      <x:c r="B191" s="89"/>
      <x:c r="C191" s="89"/>
      <x:c r="D191" s="89"/>
      <x:c r="E191" s="89"/>
      <x:c r="F191" s="89"/>
      <x:c r="G191" s="89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89"/>
      <x:c r="W191" s="89"/>
      <x:c r="X191" s="89"/>
      <x:c r="Y191" s="89"/>
      <x:c r="Z191" s="89"/>
    </x:row>
    <x:row r="192">
      <x:c r="A192" s="89"/>
      <x:c r="B192" s="89"/>
      <x:c r="C192" s="89"/>
      <x:c r="D192" s="89"/>
      <x:c r="E192" s="89"/>
      <x:c r="F192" s="89"/>
      <x:c r="G192" s="89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89"/>
      <x:c r="W192" s="89"/>
      <x:c r="X192" s="89"/>
      <x:c r="Y192" s="89"/>
      <x:c r="Z192" s="89"/>
    </x:row>
    <x:row r="193">
      <x:c r="A193" s="89"/>
      <x:c r="B193" s="89"/>
      <x:c r="C193" s="89"/>
      <x:c r="D193" s="89"/>
      <x:c r="E193" s="89"/>
      <x:c r="F193" s="89"/>
      <x:c r="G193" s="89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89"/>
      <x:c r="W193" s="89"/>
      <x:c r="X193" s="89"/>
      <x:c r="Y193" s="89"/>
      <x:c r="Z193" s="89"/>
    </x:row>
    <x:row r="194">
      <x:c r="A194" s="89"/>
      <x:c r="B194" s="89"/>
      <x:c r="C194" s="89"/>
      <x:c r="D194" s="89"/>
      <x:c r="E194" s="89"/>
      <x:c r="F194" s="89"/>
      <x:c r="G194" s="89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89"/>
      <x:c r="W194" s="89"/>
      <x:c r="X194" s="89"/>
      <x:c r="Y194" s="89"/>
      <x:c r="Z194" s="89"/>
    </x:row>
    <x:row r="195">
      <x:c r="A195" s="89"/>
      <x:c r="B195" s="89"/>
      <x:c r="C195" s="89"/>
      <x:c r="D195" s="89"/>
      <x:c r="E195" s="89"/>
      <x:c r="F195" s="89"/>
      <x:c r="G195" s="89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89"/>
      <x:c r="W195" s="89"/>
      <x:c r="X195" s="89"/>
      <x:c r="Y195" s="89"/>
      <x:c r="Z195" s="89"/>
    </x:row>
    <x:row r="196">
      <x:c r="A196" s="89"/>
      <x:c r="B196" s="89"/>
      <x:c r="C196" s="89"/>
      <x:c r="D196" s="89"/>
      <x:c r="E196" s="89"/>
      <x:c r="F196" s="89"/>
      <x:c r="G196" s="89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89"/>
      <x:c r="W196" s="89"/>
      <x:c r="X196" s="89"/>
      <x:c r="Y196" s="89"/>
      <x:c r="Z196" s="89"/>
    </x:row>
    <x:row r="197">
      <x:c r="A197" s="89"/>
      <x:c r="B197" s="89"/>
      <x:c r="C197" s="89"/>
      <x:c r="D197" s="89"/>
      <x:c r="E197" s="89"/>
      <x:c r="F197" s="89"/>
      <x:c r="G197" s="89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89"/>
      <x:c r="W197" s="89"/>
      <x:c r="X197" s="89"/>
      <x:c r="Y197" s="89"/>
      <x:c r="Z197" s="89"/>
    </x:row>
    <x:row r="198">
      <x:c r="A198" s="89"/>
      <x:c r="B198" s="89"/>
      <x:c r="C198" s="89"/>
      <x:c r="D198" s="89"/>
      <x:c r="E198" s="89"/>
      <x:c r="F198" s="89"/>
      <x:c r="G198" s="89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89"/>
      <x:c r="W198" s="89"/>
      <x:c r="X198" s="89"/>
      <x:c r="Y198" s="89"/>
      <x:c r="Z198" s="89"/>
    </x:row>
    <x:row r="199">
      <x:c r="A199" s="89"/>
      <x:c r="B199" s="89"/>
      <x:c r="C199" s="89"/>
      <x:c r="D199" s="89"/>
      <x:c r="E199" s="89"/>
      <x:c r="F199" s="89"/>
      <x:c r="G199" s="89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89"/>
      <x:c r="W199" s="89"/>
      <x:c r="X199" s="89"/>
      <x:c r="Y199" s="89"/>
      <x:c r="Z199" s="89"/>
    </x:row>
    <x:row r="200">
      <x:c r="A200" s="89"/>
      <x:c r="B200" s="89"/>
      <x:c r="C200" s="89"/>
      <x:c r="D200" s="89"/>
      <x:c r="E200" s="89"/>
      <x:c r="F200" s="89"/>
      <x:c r="G200" s="89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89"/>
      <x:c r="W200" s="89"/>
      <x:c r="X200" s="89"/>
      <x:c r="Y200" s="89"/>
      <x:c r="Z200" s="89"/>
    </x:row>
  </x:sheetData>
  <x:mergeCells>
    <x:mergeCell ref="A1:J1"/>
  </x:mergeCells>
  <x:conditionalFormatting sqref="B4:B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23b1c46e917b47cb"/>
</x:worksheet>
</file>